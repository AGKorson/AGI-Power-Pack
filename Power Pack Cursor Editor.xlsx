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f40371ee97c7142a/Documents/"/>
    </mc:Choice>
  </mc:AlternateContent>
  <xr:revisionPtr revIDLastSave="17" documentId="8_{D15A92C7-9025-44DE-A28A-543F10A2A601}" xr6:coauthVersionLast="47" xr6:coauthVersionMax="47" xr10:uidLastSave="{C8AEC796-FC98-461C-8641-B0B0A40028D0}"/>
  <bookViews>
    <workbookView xWindow="-110" yWindow="-110" windowWidth="23260" windowHeight="14860" xr2:uid="{1DFB53B5-35C3-48B8-9DE0-278E52ACCC91}"/>
  </bookViews>
  <sheets>
    <sheet name="Cursor Editor" sheetId="1" r:id="rId1"/>
    <sheet name="Cursor Viewer" sheetId="2" r:id="rId2"/>
  </sheets>
  <externalReferences>
    <externalReference r:id="rId3"/>
  </externalReferences>
  <definedNames>
    <definedName name="B">'[1]path calculation'!$B$21</definedName>
    <definedName name="cursorstring">'Cursor Viewer'!$A$20</definedName>
    <definedName name="DX">'[1]path calculation'!$B$18</definedName>
    <definedName name="DY">'[1]path calculation'!$B$19</definedName>
    <definedName name="EndX">'[1]path calculation'!$B$14</definedName>
    <definedName name="EndY">'[1]path calculation'!$B$15</definedName>
    <definedName name="eVER">'[1]4080col'!$B$502</definedName>
    <definedName name="fadeval">'[1]palette info'!$I$2</definedName>
    <definedName name="M">'[1]path calculation'!$B$20</definedName>
    <definedName name="newCPS">'[1]path calculation'!$B$399</definedName>
    <definedName name="oldCPS">'[1]path calculation'!$B$398</definedName>
    <definedName name="SEPARATOR">'[1]code generator'!$B$2</definedName>
    <definedName name="StartX">'[1]path calculation'!$B$12</definedName>
    <definedName name="StartY">'[1]path calculation'!$B$13</definedName>
    <definedName name="STEPSZ">'[1]path calculation'!$B$22</definedName>
    <definedName name="VER">'[1]4080col'!$I$3</definedName>
    <definedName name="XCTR_START">'[1]path calculation'!$Q$190</definedName>
    <definedName name="xDIR">'[1]path calculation'!$B$16</definedName>
    <definedName name="XRESET">'[1]path calculation'!$Q$192</definedName>
    <definedName name="XSTEP">'[1]path calculation'!$Q$191</definedName>
    <definedName name="YCTR_START">'[1]path calculation'!$Q$29</definedName>
    <definedName name="yDIR">'[1]path calculation'!$B$17</definedName>
    <definedName name="YRESET">'[1]path calculation'!$Q$31</definedName>
    <definedName name="YSTEP">'[1]path calculation'!$Q$30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BU40" i="1" l="1"/>
  <c r="BT40" i="1"/>
  <c r="BS40" i="1"/>
  <c r="BR40" i="1"/>
  <c r="BQ40" i="1"/>
  <c r="BP40" i="1"/>
  <c r="BO40" i="1"/>
  <c r="BN40" i="1"/>
  <c r="BM40" i="1"/>
  <c r="BL40" i="1"/>
  <c r="BK40" i="1"/>
  <c r="BJ40" i="1"/>
  <c r="BI40" i="1"/>
  <c r="BH40" i="1"/>
  <c r="BG40" i="1"/>
  <c r="BF40" i="1"/>
  <c r="BU39" i="1"/>
  <c r="BT39" i="1"/>
  <c r="BS39" i="1"/>
  <c r="BR39" i="1"/>
  <c r="BQ39" i="1"/>
  <c r="BP39" i="1"/>
  <c r="BO39" i="1"/>
  <c r="BN39" i="1"/>
  <c r="BM39" i="1"/>
  <c r="BL39" i="1"/>
  <c r="BK39" i="1"/>
  <c r="BJ39" i="1"/>
  <c r="BI39" i="1"/>
  <c r="BH39" i="1"/>
  <c r="BG39" i="1"/>
  <c r="BF39" i="1"/>
  <c r="BU38" i="1"/>
  <c r="BT38" i="1"/>
  <c r="BS38" i="1"/>
  <c r="BR38" i="1"/>
  <c r="BQ38" i="1"/>
  <c r="BP38" i="1"/>
  <c r="BO38" i="1"/>
  <c r="BN38" i="1"/>
  <c r="BM38" i="1"/>
  <c r="BL38" i="1"/>
  <c r="BK38" i="1"/>
  <c r="BJ38" i="1"/>
  <c r="BI38" i="1"/>
  <c r="BH38" i="1"/>
  <c r="BG38" i="1"/>
  <c r="BF38" i="1"/>
  <c r="BU37" i="1"/>
  <c r="BT37" i="1"/>
  <c r="BS37" i="1"/>
  <c r="BR37" i="1"/>
  <c r="BQ37" i="1"/>
  <c r="BP37" i="1"/>
  <c r="BO37" i="1"/>
  <c r="BN37" i="1"/>
  <c r="BM37" i="1"/>
  <c r="BL37" i="1"/>
  <c r="BK37" i="1"/>
  <c r="BJ37" i="1"/>
  <c r="BI37" i="1"/>
  <c r="BH37" i="1"/>
  <c r="BG37" i="1"/>
  <c r="BF37" i="1"/>
  <c r="BU36" i="1"/>
  <c r="BT36" i="1"/>
  <c r="BS36" i="1"/>
  <c r="BR36" i="1"/>
  <c r="BQ36" i="1"/>
  <c r="BP36" i="1"/>
  <c r="BO36" i="1"/>
  <c r="BN36" i="1"/>
  <c r="BM36" i="1"/>
  <c r="BL36" i="1"/>
  <c r="BK36" i="1"/>
  <c r="BJ36" i="1"/>
  <c r="BI36" i="1"/>
  <c r="BH36" i="1"/>
  <c r="BG36" i="1"/>
  <c r="BF36" i="1"/>
  <c r="BU35" i="1"/>
  <c r="BT35" i="1"/>
  <c r="BS35" i="1"/>
  <c r="BR35" i="1"/>
  <c r="BQ35" i="1"/>
  <c r="BP35" i="1"/>
  <c r="BO35" i="1"/>
  <c r="BN35" i="1"/>
  <c r="BM35" i="1"/>
  <c r="BL35" i="1"/>
  <c r="BK35" i="1"/>
  <c r="BJ35" i="1"/>
  <c r="BI35" i="1"/>
  <c r="BH35" i="1"/>
  <c r="BG35" i="1"/>
  <c r="BF35" i="1"/>
  <c r="BU34" i="1"/>
  <c r="BT34" i="1"/>
  <c r="BS34" i="1"/>
  <c r="BR34" i="1"/>
  <c r="BQ34" i="1"/>
  <c r="BP34" i="1"/>
  <c r="BO34" i="1"/>
  <c r="BN34" i="1"/>
  <c r="BM34" i="1"/>
  <c r="BL34" i="1"/>
  <c r="BK34" i="1"/>
  <c r="BJ34" i="1"/>
  <c r="BI34" i="1"/>
  <c r="BH34" i="1"/>
  <c r="BG34" i="1"/>
  <c r="BF34" i="1"/>
  <c r="BU33" i="1"/>
  <c r="BT33" i="1"/>
  <c r="BS33" i="1"/>
  <c r="BR33" i="1"/>
  <c r="BQ33" i="1"/>
  <c r="BP33" i="1"/>
  <c r="BO33" i="1"/>
  <c r="BN33" i="1"/>
  <c r="BM33" i="1"/>
  <c r="BL33" i="1"/>
  <c r="BK33" i="1"/>
  <c r="BJ33" i="1"/>
  <c r="BI33" i="1"/>
  <c r="BH33" i="1"/>
  <c r="BG33" i="1"/>
  <c r="BF33" i="1"/>
  <c r="BU32" i="1"/>
  <c r="BT32" i="1"/>
  <c r="BS32" i="1"/>
  <c r="BR32" i="1"/>
  <c r="BQ32" i="1"/>
  <c r="BP32" i="1"/>
  <c r="BO32" i="1"/>
  <c r="BN32" i="1"/>
  <c r="BM32" i="1"/>
  <c r="BL32" i="1"/>
  <c r="BK32" i="1"/>
  <c r="BJ32" i="1"/>
  <c r="BI32" i="1"/>
  <c r="BH32" i="1"/>
  <c r="BG32" i="1"/>
  <c r="BF32" i="1"/>
  <c r="BU31" i="1"/>
  <c r="BT31" i="1"/>
  <c r="BS31" i="1"/>
  <c r="BR31" i="1"/>
  <c r="BQ31" i="1"/>
  <c r="BP31" i="1"/>
  <c r="BO31" i="1"/>
  <c r="BN31" i="1"/>
  <c r="BM31" i="1"/>
  <c r="BL31" i="1"/>
  <c r="BK31" i="1"/>
  <c r="BJ31" i="1"/>
  <c r="BI31" i="1"/>
  <c r="BH31" i="1"/>
  <c r="BG31" i="1"/>
  <c r="BF31" i="1"/>
  <c r="BU30" i="1"/>
  <c r="BT30" i="1"/>
  <c r="BS30" i="1"/>
  <c r="BR30" i="1"/>
  <c r="BQ30" i="1"/>
  <c r="BP30" i="1"/>
  <c r="BO30" i="1"/>
  <c r="BN30" i="1"/>
  <c r="BM30" i="1"/>
  <c r="BL30" i="1"/>
  <c r="BK30" i="1"/>
  <c r="BJ30" i="1"/>
  <c r="BI30" i="1"/>
  <c r="BH30" i="1"/>
  <c r="BG30" i="1"/>
  <c r="BF30" i="1"/>
  <c r="BU29" i="1"/>
  <c r="BT29" i="1"/>
  <c r="BS29" i="1"/>
  <c r="BR29" i="1"/>
  <c r="BQ29" i="1"/>
  <c r="BP29" i="1"/>
  <c r="BO29" i="1"/>
  <c r="BN29" i="1"/>
  <c r="BM29" i="1"/>
  <c r="BL29" i="1"/>
  <c r="BK29" i="1"/>
  <c r="BJ29" i="1"/>
  <c r="BI29" i="1"/>
  <c r="BH29" i="1"/>
  <c r="BG29" i="1"/>
  <c r="BF29" i="1"/>
  <c r="BU28" i="1"/>
  <c r="BT28" i="1"/>
  <c r="BS28" i="1"/>
  <c r="BR28" i="1"/>
  <c r="BQ28" i="1"/>
  <c r="BP28" i="1"/>
  <c r="BO28" i="1"/>
  <c r="BN28" i="1"/>
  <c r="BM28" i="1"/>
  <c r="BL28" i="1"/>
  <c r="BK28" i="1"/>
  <c r="BJ28" i="1"/>
  <c r="BI28" i="1"/>
  <c r="BH28" i="1"/>
  <c r="BG28" i="1"/>
  <c r="BF28" i="1"/>
  <c r="BU27" i="1"/>
  <c r="BT27" i="1"/>
  <c r="BS27" i="1"/>
  <c r="BR27" i="1"/>
  <c r="BQ27" i="1"/>
  <c r="BP27" i="1"/>
  <c r="BO27" i="1"/>
  <c r="BN27" i="1"/>
  <c r="BM27" i="1"/>
  <c r="BL27" i="1"/>
  <c r="BK27" i="1"/>
  <c r="BJ27" i="1"/>
  <c r="BI27" i="1"/>
  <c r="BH27" i="1"/>
  <c r="BG27" i="1"/>
  <c r="BF27" i="1"/>
  <c r="BU26" i="1"/>
  <c r="BT26" i="1"/>
  <c r="BS26" i="1"/>
  <c r="BR26" i="1"/>
  <c r="BQ26" i="1"/>
  <c r="BP26" i="1"/>
  <c r="BO26" i="1"/>
  <c r="BN26" i="1"/>
  <c r="BM26" i="1"/>
  <c r="BL26" i="1"/>
  <c r="BK26" i="1"/>
  <c r="BJ26" i="1"/>
  <c r="BI26" i="1"/>
  <c r="BH26" i="1"/>
  <c r="BG26" i="1"/>
  <c r="BF26" i="1"/>
  <c r="BU25" i="1"/>
  <c r="BT25" i="1"/>
  <c r="BS25" i="1"/>
  <c r="BR25" i="1"/>
  <c r="BQ25" i="1"/>
  <c r="BP25" i="1"/>
  <c r="BO25" i="1"/>
  <c r="BN25" i="1"/>
  <c r="BM25" i="1"/>
  <c r="BL25" i="1"/>
  <c r="BK25" i="1"/>
  <c r="BJ25" i="1"/>
  <c r="BI25" i="1"/>
  <c r="BH25" i="1"/>
  <c r="BG25" i="1"/>
  <c r="BF25" i="1"/>
  <c r="AJ40" i="1"/>
  <c r="AI40" i="1"/>
  <c r="AH40" i="1"/>
  <c r="AG40" i="1"/>
  <c r="AF40" i="1"/>
  <c r="AE40" i="1"/>
  <c r="AD40" i="1"/>
  <c r="AC40" i="1"/>
  <c r="AB40" i="1"/>
  <c r="AA40" i="1"/>
  <c r="Z40" i="1"/>
  <c r="Y40" i="1"/>
  <c r="X40" i="1"/>
  <c r="W40" i="1"/>
  <c r="V40" i="1"/>
  <c r="U40" i="1"/>
  <c r="AJ39" i="1"/>
  <c r="AI39" i="1"/>
  <c r="AH39" i="1"/>
  <c r="AG39" i="1"/>
  <c r="AF39" i="1"/>
  <c r="AE39" i="1"/>
  <c r="AD39" i="1"/>
  <c r="AC39" i="1"/>
  <c r="AB39" i="1"/>
  <c r="AA39" i="1"/>
  <c r="Z39" i="1"/>
  <c r="Y39" i="1"/>
  <c r="X39" i="1"/>
  <c r="W39" i="1"/>
  <c r="V39" i="1"/>
  <c r="U39" i="1"/>
  <c r="AJ38" i="1"/>
  <c r="AI38" i="1"/>
  <c r="AH38" i="1"/>
  <c r="AG38" i="1"/>
  <c r="AF38" i="1"/>
  <c r="AE38" i="1"/>
  <c r="AD38" i="1"/>
  <c r="AC38" i="1"/>
  <c r="AB38" i="1"/>
  <c r="AA38" i="1"/>
  <c r="Z38" i="1"/>
  <c r="Y38" i="1"/>
  <c r="X38" i="1"/>
  <c r="W38" i="1"/>
  <c r="V38" i="1"/>
  <c r="U38" i="1"/>
  <c r="AJ37" i="1"/>
  <c r="AI37" i="1"/>
  <c r="AH37" i="1"/>
  <c r="AG37" i="1"/>
  <c r="AF37" i="1"/>
  <c r="AE37" i="1"/>
  <c r="AD37" i="1"/>
  <c r="AC37" i="1"/>
  <c r="AB37" i="1"/>
  <c r="AA37" i="1"/>
  <c r="Z37" i="1"/>
  <c r="Y37" i="1"/>
  <c r="X37" i="1"/>
  <c r="W37" i="1"/>
  <c r="V37" i="1"/>
  <c r="U37" i="1"/>
  <c r="AJ36" i="1"/>
  <c r="AI36" i="1"/>
  <c r="AH36" i="1"/>
  <c r="AG36" i="1"/>
  <c r="AF36" i="1"/>
  <c r="AE36" i="1"/>
  <c r="AD36" i="1"/>
  <c r="AC36" i="1"/>
  <c r="AB36" i="1"/>
  <c r="AA36" i="1"/>
  <c r="Z36" i="1"/>
  <c r="Y36" i="1"/>
  <c r="X36" i="1"/>
  <c r="W36" i="1"/>
  <c r="V36" i="1"/>
  <c r="U36" i="1"/>
  <c r="AJ35" i="1"/>
  <c r="AI35" i="1"/>
  <c r="AH35" i="1"/>
  <c r="AG35" i="1"/>
  <c r="AF35" i="1"/>
  <c r="AE35" i="1"/>
  <c r="AD35" i="1"/>
  <c r="AC35" i="1"/>
  <c r="AB35" i="1"/>
  <c r="AA35" i="1"/>
  <c r="Z35" i="1"/>
  <c r="Y35" i="1"/>
  <c r="X35" i="1"/>
  <c r="W35" i="1"/>
  <c r="V35" i="1"/>
  <c r="U35" i="1"/>
  <c r="AJ34" i="1"/>
  <c r="AI34" i="1"/>
  <c r="AH34" i="1"/>
  <c r="AG34" i="1"/>
  <c r="AF34" i="1"/>
  <c r="AE34" i="1"/>
  <c r="AD34" i="1"/>
  <c r="AC34" i="1"/>
  <c r="AB34" i="1"/>
  <c r="AA34" i="1"/>
  <c r="Z34" i="1"/>
  <c r="Y34" i="1"/>
  <c r="X34" i="1"/>
  <c r="W34" i="1"/>
  <c r="V34" i="1"/>
  <c r="U34" i="1"/>
  <c r="AJ33" i="1"/>
  <c r="AI33" i="1"/>
  <c r="AH33" i="1"/>
  <c r="AG33" i="1"/>
  <c r="AF33" i="1"/>
  <c r="AE33" i="1"/>
  <c r="AD33" i="1"/>
  <c r="AC33" i="1"/>
  <c r="AB33" i="1"/>
  <c r="AA33" i="1"/>
  <c r="Z33" i="1"/>
  <c r="Y33" i="1"/>
  <c r="X33" i="1"/>
  <c r="W33" i="1"/>
  <c r="V33" i="1"/>
  <c r="U33" i="1"/>
  <c r="AJ32" i="1"/>
  <c r="AI32" i="1"/>
  <c r="AH32" i="1"/>
  <c r="AG32" i="1"/>
  <c r="AF32" i="1"/>
  <c r="AE32" i="1"/>
  <c r="AD32" i="1"/>
  <c r="AC32" i="1"/>
  <c r="AB32" i="1"/>
  <c r="AA32" i="1"/>
  <c r="Z32" i="1"/>
  <c r="Y32" i="1"/>
  <c r="X32" i="1"/>
  <c r="W32" i="1"/>
  <c r="V32" i="1"/>
  <c r="U32" i="1"/>
  <c r="AJ31" i="1"/>
  <c r="AI31" i="1"/>
  <c r="AH31" i="1"/>
  <c r="AG31" i="1"/>
  <c r="AF31" i="1"/>
  <c r="AE31" i="1"/>
  <c r="AD31" i="1"/>
  <c r="AC31" i="1"/>
  <c r="AB31" i="1"/>
  <c r="AA31" i="1"/>
  <c r="Z31" i="1"/>
  <c r="Y31" i="1"/>
  <c r="X31" i="1"/>
  <c r="W31" i="1"/>
  <c r="V31" i="1"/>
  <c r="U31" i="1"/>
  <c r="AJ30" i="1"/>
  <c r="AI30" i="1"/>
  <c r="AH30" i="1"/>
  <c r="AG30" i="1"/>
  <c r="AF30" i="1"/>
  <c r="AE30" i="1"/>
  <c r="AD30" i="1"/>
  <c r="AC30" i="1"/>
  <c r="AB30" i="1"/>
  <c r="AA30" i="1"/>
  <c r="Z30" i="1"/>
  <c r="Y30" i="1"/>
  <c r="X30" i="1"/>
  <c r="W30" i="1"/>
  <c r="V30" i="1"/>
  <c r="U30" i="1"/>
  <c r="AJ29" i="1"/>
  <c r="AI29" i="1"/>
  <c r="AH29" i="1"/>
  <c r="AG29" i="1"/>
  <c r="AF29" i="1"/>
  <c r="AE29" i="1"/>
  <c r="AD29" i="1"/>
  <c r="AC29" i="1"/>
  <c r="AB29" i="1"/>
  <c r="AA29" i="1"/>
  <c r="Z29" i="1"/>
  <c r="Y29" i="1"/>
  <c r="X29" i="1"/>
  <c r="W29" i="1"/>
  <c r="V29" i="1"/>
  <c r="U29" i="1"/>
  <c r="AJ28" i="1"/>
  <c r="AI28" i="1"/>
  <c r="AH28" i="1"/>
  <c r="AG28" i="1"/>
  <c r="AF28" i="1"/>
  <c r="AE28" i="1"/>
  <c r="AD28" i="1"/>
  <c r="AC28" i="1"/>
  <c r="AB28" i="1"/>
  <c r="AA28" i="1"/>
  <c r="Z28" i="1"/>
  <c r="Y28" i="1"/>
  <c r="X28" i="1"/>
  <c r="W28" i="1"/>
  <c r="V28" i="1"/>
  <c r="U28" i="1"/>
  <c r="AJ27" i="1"/>
  <c r="AI27" i="1"/>
  <c r="AH27" i="1"/>
  <c r="AG27" i="1"/>
  <c r="AF27" i="1"/>
  <c r="AE27" i="1"/>
  <c r="AD27" i="1"/>
  <c r="AC27" i="1"/>
  <c r="AB27" i="1"/>
  <c r="AA27" i="1"/>
  <c r="Z27" i="1"/>
  <c r="Y27" i="1"/>
  <c r="X27" i="1"/>
  <c r="W27" i="1"/>
  <c r="V27" i="1"/>
  <c r="U27" i="1"/>
  <c r="AJ26" i="1"/>
  <c r="AI26" i="1"/>
  <c r="AH26" i="1"/>
  <c r="AG26" i="1"/>
  <c r="AF26" i="1"/>
  <c r="AE26" i="1"/>
  <c r="AD26" i="1"/>
  <c r="AC26" i="1"/>
  <c r="AB26" i="1"/>
  <c r="AA26" i="1"/>
  <c r="Z26" i="1"/>
  <c r="Y26" i="1"/>
  <c r="X26" i="1"/>
  <c r="W26" i="1"/>
  <c r="V26" i="1"/>
  <c r="U26" i="1"/>
  <c r="AJ25" i="1"/>
  <c r="AI25" i="1"/>
  <c r="AH25" i="1"/>
  <c r="AG25" i="1"/>
  <c r="AF25" i="1"/>
  <c r="AE25" i="1"/>
  <c r="AD25" i="1"/>
  <c r="AC25" i="1"/>
  <c r="AB25" i="1"/>
  <c r="AA25" i="1"/>
  <c r="Z25" i="1"/>
  <c r="Y25" i="1"/>
  <c r="X25" i="1"/>
  <c r="W25" i="1"/>
  <c r="V25" i="1"/>
  <c r="U25" i="1"/>
  <c r="BD43" i="2"/>
  <c r="BC43" i="2"/>
  <c r="BB43" i="2"/>
  <c r="BA43" i="2"/>
  <c r="AZ43" i="2"/>
  <c r="AY43" i="2"/>
  <c r="AX43" i="2"/>
  <c r="AW43" i="2"/>
  <c r="AV43" i="2"/>
  <c r="AU43" i="2"/>
  <c r="AT43" i="2"/>
  <c r="AS43" i="2"/>
  <c r="AR43" i="2"/>
  <c r="AQ43" i="2"/>
  <c r="AP43" i="2"/>
  <c r="AO43" i="2"/>
  <c r="BD42" i="2"/>
  <c r="BC42" i="2"/>
  <c r="BB42" i="2"/>
  <c r="BA42" i="2"/>
  <c r="AZ42" i="2"/>
  <c r="AY42" i="2"/>
  <c r="AX42" i="2"/>
  <c r="AW42" i="2"/>
  <c r="AV42" i="2"/>
  <c r="AU42" i="2"/>
  <c r="AT42" i="2"/>
  <c r="AS42" i="2"/>
  <c r="AR42" i="2"/>
  <c r="AQ42" i="2"/>
  <c r="AP42" i="2"/>
  <c r="AO42" i="2"/>
  <c r="BD41" i="2"/>
  <c r="BC41" i="2"/>
  <c r="BB41" i="2"/>
  <c r="BA41" i="2"/>
  <c r="AZ41" i="2"/>
  <c r="AY41" i="2"/>
  <c r="AX41" i="2"/>
  <c r="AW41" i="2"/>
  <c r="AV41" i="2"/>
  <c r="AU41" i="2"/>
  <c r="AT41" i="2"/>
  <c r="AS41" i="2"/>
  <c r="AR41" i="2"/>
  <c r="AQ41" i="2"/>
  <c r="AP41" i="2"/>
  <c r="AO41" i="2"/>
  <c r="BD40" i="2"/>
  <c r="BC40" i="2"/>
  <c r="BB40" i="2"/>
  <c r="BA40" i="2"/>
  <c r="AZ40" i="2"/>
  <c r="AY40" i="2"/>
  <c r="AX40" i="2"/>
  <c r="AW40" i="2"/>
  <c r="AV40" i="2"/>
  <c r="AU40" i="2"/>
  <c r="AT40" i="2"/>
  <c r="AS40" i="2"/>
  <c r="AR40" i="2"/>
  <c r="AQ40" i="2"/>
  <c r="AP40" i="2"/>
  <c r="AO40" i="2"/>
  <c r="BD39" i="2"/>
  <c r="BC39" i="2"/>
  <c r="BB39" i="2"/>
  <c r="BA39" i="2"/>
  <c r="AZ39" i="2"/>
  <c r="AY39" i="2"/>
  <c r="AX39" i="2"/>
  <c r="AW39" i="2"/>
  <c r="AV39" i="2"/>
  <c r="AU39" i="2"/>
  <c r="AT39" i="2"/>
  <c r="AS39" i="2"/>
  <c r="AR39" i="2"/>
  <c r="AQ39" i="2"/>
  <c r="AP39" i="2"/>
  <c r="AO39" i="2"/>
  <c r="BD38" i="2"/>
  <c r="BC38" i="2"/>
  <c r="BB38" i="2"/>
  <c r="BA38" i="2"/>
  <c r="AZ38" i="2"/>
  <c r="AY38" i="2"/>
  <c r="AX38" i="2"/>
  <c r="AW38" i="2"/>
  <c r="AV38" i="2"/>
  <c r="AU38" i="2"/>
  <c r="AT38" i="2"/>
  <c r="AS38" i="2"/>
  <c r="AR38" i="2"/>
  <c r="AQ38" i="2"/>
  <c r="AP38" i="2"/>
  <c r="AO38" i="2"/>
  <c r="BD37" i="2"/>
  <c r="BC37" i="2"/>
  <c r="BB37" i="2"/>
  <c r="BA37" i="2"/>
  <c r="AZ37" i="2"/>
  <c r="AY37" i="2"/>
  <c r="AX37" i="2"/>
  <c r="AW37" i="2"/>
  <c r="AV37" i="2"/>
  <c r="AU37" i="2"/>
  <c r="AT37" i="2"/>
  <c r="AS37" i="2"/>
  <c r="AR37" i="2"/>
  <c r="AQ37" i="2"/>
  <c r="AP37" i="2"/>
  <c r="AO37" i="2"/>
  <c r="BD36" i="2"/>
  <c r="BC36" i="2"/>
  <c r="BB36" i="2"/>
  <c r="BA36" i="2"/>
  <c r="AZ36" i="2"/>
  <c r="AY36" i="2"/>
  <c r="AX36" i="2"/>
  <c r="AW36" i="2"/>
  <c r="AV36" i="2"/>
  <c r="AU36" i="2"/>
  <c r="AT36" i="2"/>
  <c r="AS36" i="2"/>
  <c r="AR36" i="2"/>
  <c r="AQ36" i="2"/>
  <c r="AP36" i="2"/>
  <c r="AO36" i="2"/>
  <c r="BD35" i="2"/>
  <c r="BC35" i="2"/>
  <c r="BB35" i="2"/>
  <c r="BA35" i="2"/>
  <c r="AZ35" i="2"/>
  <c r="AY35" i="2"/>
  <c r="AX35" i="2"/>
  <c r="AW35" i="2"/>
  <c r="AV35" i="2"/>
  <c r="AU35" i="2"/>
  <c r="AT35" i="2"/>
  <c r="AS35" i="2"/>
  <c r="AR35" i="2"/>
  <c r="AQ35" i="2"/>
  <c r="AP35" i="2"/>
  <c r="AO35" i="2"/>
  <c r="BD34" i="2"/>
  <c r="BC34" i="2"/>
  <c r="BB34" i="2"/>
  <c r="BA34" i="2"/>
  <c r="AZ34" i="2"/>
  <c r="AY34" i="2"/>
  <c r="AX34" i="2"/>
  <c r="AW34" i="2"/>
  <c r="AV34" i="2"/>
  <c r="AU34" i="2"/>
  <c r="AT34" i="2"/>
  <c r="AS34" i="2"/>
  <c r="AR34" i="2"/>
  <c r="AQ34" i="2"/>
  <c r="AP34" i="2"/>
  <c r="AO34" i="2"/>
  <c r="BD33" i="2"/>
  <c r="BC33" i="2"/>
  <c r="BB33" i="2"/>
  <c r="BA33" i="2"/>
  <c r="AZ33" i="2"/>
  <c r="AY33" i="2"/>
  <c r="AX33" i="2"/>
  <c r="AW33" i="2"/>
  <c r="AV33" i="2"/>
  <c r="AU33" i="2"/>
  <c r="AT33" i="2"/>
  <c r="AS33" i="2"/>
  <c r="AR33" i="2"/>
  <c r="AQ33" i="2"/>
  <c r="AP33" i="2"/>
  <c r="AO33" i="2"/>
  <c r="BD32" i="2"/>
  <c r="BC32" i="2"/>
  <c r="BB32" i="2"/>
  <c r="BA32" i="2"/>
  <c r="AZ32" i="2"/>
  <c r="AY32" i="2"/>
  <c r="AX32" i="2"/>
  <c r="AW32" i="2"/>
  <c r="AV32" i="2"/>
  <c r="AU32" i="2"/>
  <c r="AT32" i="2"/>
  <c r="AS32" i="2"/>
  <c r="AR32" i="2"/>
  <c r="AQ32" i="2"/>
  <c r="AP32" i="2"/>
  <c r="AO32" i="2"/>
  <c r="BD31" i="2"/>
  <c r="BC31" i="2"/>
  <c r="BB31" i="2"/>
  <c r="BA31" i="2"/>
  <c r="AZ31" i="2"/>
  <c r="AY31" i="2"/>
  <c r="AX31" i="2"/>
  <c r="AW31" i="2"/>
  <c r="AV31" i="2"/>
  <c r="AU31" i="2"/>
  <c r="AT31" i="2"/>
  <c r="AS31" i="2"/>
  <c r="AR31" i="2"/>
  <c r="AQ31" i="2"/>
  <c r="AP31" i="2"/>
  <c r="AO31" i="2"/>
  <c r="BD30" i="2"/>
  <c r="BC30" i="2"/>
  <c r="BB30" i="2"/>
  <c r="BA30" i="2"/>
  <c r="AZ30" i="2"/>
  <c r="AY30" i="2"/>
  <c r="AX30" i="2"/>
  <c r="AW30" i="2"/>
  <c r="AV30" i="2"/>
  <c r="AU30" i="2"/>
  <c r="AT30" i="2"/>
  <c r="AS30" i="2"/>
  <c r="AR30" i="2"/>
  <c r="AQ30" i="2"/>
  <c r="AP30" i="2"/>
  <c r="AO30" i="2"/>
  <c r="BD29" i="2"/>
  <c r="BC29" i="2"/>
  <c r="BB29" i="2"/>
  <c r="BA29" i="2"/>
  <c r="AZ29" i="2"/>
  <c r="AY29" i="2"/>
  <c r="AX29" i="2"/>
  <c r="AW29" i="2"/>
  <c r="AV29" i="2"/>
  <c r="AU29" i="2"/>
  <c r="AT29" i="2"/>
  <c r="AS29" i="2"/>
  <c r="AR29" i="2"/>
  <c r="AQ29" i="2"/>
  <c r="AP29" i="2"/>
  <c r="AO29" i="2"/>
  <c r="BD28" i="2"/>
  <c r="BC28" i="2"/>
  <c r="BB28" i="2"/>
  <c r="BA28" i="2"/>
  <c r="AZ28" i="2"/>
  <c r="AY28" i="2"/>
  <c r="AX28" i="2"/>
  <c r="AW28" i="2"/>
  <c r="AV28" i="2"/>
  <c r="AU28" i="2"/>
  <c r="AT28" i="2"/>
  <c r="AS28" i="2"/>
  <c r="AR28" i="2"/>
  <c r="AQ28" i="2"/>
  <c r="AP28" i="2"/>
  <c r="AO28" i="2"/>
  <c r="AJ43" i="2"/>
  <c r="AI43" i="2"/>
  <c r="AH43" i="2"/>
  <c r="AG43" i="2"/>
  <c r="AF43" i="2"/>
  <c r="AE43" i="2"/>
  <c r="AD43" i="2"/>
  <c r="AC43" i="2"/>
  <c r="AB43" i="2"/>
  <c r="AA43" i="2"/>
  <c r="Z43" i="2"/>
  <c r="Y43" i="2"/>
  <c r="X43" i="2"/>
  <c r="W43" i="2"/>
  <c r="V43" i="2"/>
  <c r="U43" i="2"/>
  <c r="AJ42" i="2"/>
  <c r="AI42" i="2"/>
  <c r="AH42" i="2"/>
  <c r="AG42" i="2"/>
  <c r="AF42" i="2"/>
  <c r="AE42" i="2"/>
  <c r="AD42" i="2"/>
  <c r="AC42" i="2"/>
  <c r="AB42" i="2"/>
  <c r="AA42" i="2"/>
  <c r="Z42" i="2"/>
  <c r="Y42" i="2"/>
  <c r="X42" i="2"/>
  <c r="W42" i="2"/>
  <c r="V42" i="2"/>
  <c r="U42" i="2"/>
  <c r="AJ41" i="2"/>
  <c r="AI41" i="2"/>
  <c r="AH41" i="2"/>
  <c r="AG41" i="2"/>
  <c r="AF41" i="2"/>
  <c r="AE41" i="2"/>
  <c r="AD41" i="2"/>
  <c r="AC41" i="2"/>
  <c r="AB41" i="2"/>
  <c r="AA41" i="2"/>
  <c r="Z41" i="2"/>
  <c r="Y41" i="2"/>
  <c r="X41" i="2"/>
  <c r="W41" i="2"/>
  <c r="V41" i="2"/>
  <c r="U41" i="2"/>
  <c r="AJ40" i="2"/>
  <c r="AI40" i="2"/>
  <c r="AH40" i="2"/>
  <c r="AG40" i="2"/>
  <c r="AF40" i="2"/>
  <c r="AE40" i="2"/>
  <c r="AD40" i="2"/>
  <c r="AC40" i="2"/>
  <c r="AB40" i="2"/>
  <c r="AA40" i="2"/>
  <c r="Z40" i="2"/>
  <c r="Y40" i="2"/>
  <c r="X40" i="2"/>
  <c r="W40" i="2"/>
  <c r="V40" i="2"/>
  <c r="U40" i="2"/>
  <c r="AJ39" i="2"/>
  <c r="AI39" i="2"/>
  <c r="AH39" i="2"/>
  <c r="AG39" i="2"/>
  <c r="AF39" i="2"/>
  <c r="AE39" i="2"/>
  <c r="AD39" i="2"/>
  <c r="AC39" i="2"/>
  <c r="AB39" i="2"/>
  <c r="AA39" i="2"/>
  <c r="Z39" i="2"/>
  <c r="Y39" i="2"/>
  <c r="X39" i="2"/>
  <c r="W39" i="2"/>
  <c r="V39" i="2"/>
  <c r="U39" i="2"/>
  <c r="AJ38" i="2"/>
  <c r="AI38" i="2"/>
  <c r="AH38" i="2"/>
  <c r="AG38" i="2"/>
  <c r="AF38" i="2"/>
  <c r="AE38" i="2"/>
  <c r="AD38" i="2"/>
  <c r="AC38" i="2"/>
  <c r="AB38" i="2"/>
  <c r="AA38" i="2"/>
  <c r="Z38" i="2"/>
  <c r="Y38" i="2"/>
  <c r="X38" i="2"/>
  <c r="W38" i="2"/>
  <c r="V38" i="2"/>
  <c r="U38" i="2"/>
  <c r="AJ37" i="2"/>
  <c r="AI37" i="2"/>
  <c r="AH37" i="2"/>
  <c r="AG37" i="2"/>
  <c r="AF37" i="2"/>
  <c r="AE37" i="2"/>
  <c r="AD37" i="2"/>
  <c r="AC37" i="2"/>
  <c r="AB37" i="2"/>
  <c r="AA37" i="2"/>
  <c r="Z37" i="2"/>
  <c r="Y37" i="2"/>
  <c r="X37" i="2"/>
  <c r="W37" i="2"/>
  <c r="V37" i="2"/>
  <c r="U37" i="2"/>
  <c r="AJ36" i="2"/>
  <c r="AI36" i="2"/>
  <c r="AH36" i="2"/>
  <c r="AG36" i="2"/>
  <c r="AF36" i="2"/>
  <c r="AE36" i="2"/>
  <c r="AD36" i="2"/>
  <c r="AC36" i="2"/>
  <c r="AB36" i="2"/>
  <c r="AA36" i="2"/>
  <c r="Z36" i="2"/>
  <c r="Y36" i="2"/>
  <c r="X36" i="2"/>
  <c r="W36" i="2"/>
  <c r="V36" i="2"/>
  <c r="U36" i="2"/>
  <c r="AJ35" i="2"/>
  <c r="AI35" i="2"/>
  <c r="AH35" i="2"/>
  <c r="AG35" i="2"/>
  <c r="AF35" i="2"/>
  <c r="AE35" i="2"/>
  <c r="AD35" i="2"/>
  <c r="AC35" i="2"/>
  <c r="AB35" i="2"/>
  <c r="AA35" i="2"/>
  <c r="Z35" i="2"/>
  <c r="Y35" i="2"/>
  <c r="X35" i="2"/>
  <c r="W35" i="2"/>
  <c r="V35" i="2"/>
  <c r="U35" i="2"/>
  <c r="AJ34" i="2"/>
  <c r="AI34" i="2"/>
  <c r="AH34" i="2"/>
  <c r="AG34" i="2"/>
  <c r="AF34" i="2"/>
  <c r="AE34" i="2"/>
  <c r="AD34" i="2"/>
  <c r="AC34" i="2"/>
  <c r="AB34" i="2"/>
  <c r="AA34" i="2"/>
  <c r="Z34" i="2"/>
  <c r="Y34" i="2"/>
  <c r="X34" i="2"/>
  <c r="W34" i="2"/>
  <c r="V34" i="2"/>
  <c r="U34" i="2"/>
  <c r="AJ33" i="2"/>
  <c r="AI33" i="2"/>
  <c r="AH33" i="2"/>
  <c r="AG33" i="2"/>
  <c r="AF33" i="2"/>
  <c r="AE33" i="2"/>
  <c r="AD33" i="2"/>
  <c r="AC33" i="2"/>
  <c r="AB33" i="2"/>
  <c r="AA33" i="2"/>
  <c r="Z33" i="2"/>
  <c r="Y33" i="2"/>
  <c r="X33" i="2"/>
  <c r="W33" i="2"/>
  <c r="V33" i="2"/>
  <c r="U33" i="2"/>
  <c r="AJ32" i="2"/>
  <c r="AI32" i="2"/>
  <c r="AH32" i="2"/>
  <c r="AG32" i="2"/>
  <c r="AF32" i="2"/>
  <c r="AE32" i="2"/>
  <c r="AD32" i="2"/>
  <c r="AC32" i="2"/>
  <c r="AB32" i="2"/>
  <c r="AA32" i="2"/>
  <c r="Z32" i="2"/>
  <c r="Y32" i="2"/>
  <c r="X32" i="2"/>
  <c r="W32" i="2"/>
  <c r="V32" i="2"/>
  <c r="U32" i="2"/>
  <c r="AJ31" i="2"/>
  <c r="AI31" i="2"/>
  <c r="AH31" i="2"/>
  <c r="AG31" i="2"/>
  <c r="AF31" i="2"/>
  <c r="AE31" i="2"/>
  <c r="AD31" i="2"/>
  <c r="AC31" i="2"/>
  <c r="AB31" i="2"/>
  <c r="AA31" i="2"/>
  <c r="Z31" i="2"/>
  <c r="Y31" i="2"/>
  <c r="X31" i="2"/>
  <c r="W31" i="2"/>
  <c r="V31" i="2"/>
  <c r="U31" i="2"/>
  <c r="AJ30" i="2"/>
  <c r="AI30" i="2"/>
  <c r="AH30" i="2"/>
  <c r="AG30" i="2"/>
  <c r="AF30" i="2"/>
  <c r="AE30" i="2"/>
  <c r="AD30" i="2"/>
  <c r="AC30" i="2"/>
  <c r="AB30" i="2"/>
  <c r="AA30" i="2"/>
  <c r="Z30" i="2"/>
  <c r="Y30" i="2"/>
  <c r="X30" i="2"/>
  <c r="W30" i="2"/>
  <c r="V30" i="2"/>
  <c r="U30" i="2"/>
  <c r="AJ29" i="2"/>
  <c r="AI29" i="2"/>
  <c r="AH29" i="2"/>
  <c r="AG29" i="2"/>
  <c r="AF29" i="2"/>
  <c r="AE29" i="2"/>
  <c r="AD29" i="2"/>
  <c r="AC29" i="2"/>
  <c r="AB29" i="2"/>
  <c r="AA29" i="2"/>
  <c r="Z29" i="2"/>
  <c r="Y29" i="2"/>
  <c r="X29" i="2"/>
  <c r="W29" i="2"/>
  <c r="V29" i="2"/>
  <c r="U29" i="2"/>
  <c r="AJ28" i="2"/>
  <c r="AI28" i="2"/>
  <c r="AH28" i="2"/>
  <c r="AG28" i="2"/>
  <c r="AF28" i="2"/>
  <c r="AE28" i="2"/>
  <c r="AD28" i="2"/>
  <c r="AC28" i="2"/>
  <c r="AB28" i="2"/>
  <c r="AA28" i="2"/>
  <c r="Z28" i="2"/>
  <c r="Y28" i="2"/>
  <c r="X28" i="2"/>
  <c r="W28" i="2"/>
  <c r="V28" i="2"/>
  <c r="U28" i="2"/>
  <c r="B24" i="2"/>
  <c r="AN29" i="1"/>
  <c r="AN30" i="1"/>
  <c r="AN31" i="1"/>
  <c r="AN32" i="1"/>
  <c r="AN33" i="1"/>
  <c r="AN34" i="1"/>
  <c r="AN35" i="1"/>
  <c r="AN36" i="1"/>
  <c r="AN37" i="1"/>
  <c r="AN38" i="1"/>
  <c r="AN39" i="1"/>
  <c r="AN40" i="1"/>
  <c r="B25" i="2"/>
  <c r="A62" i="2"/>
  <c r="K62" i="2" s="1"/>
  <c r="A61" i="2"/>
  <c r="B61" i="2" s="1"/>
  <c r="A60" i="2"/>
  <c r="K60" i="2" s="1"/>
  <c r="A59" i="2"/>
  <c r="H59" i="2" s="1"/>
  <c r="A58" i="2"/>
  <c r="E58" i="2" s="1"/>
  <c r="A57" i="2"/>
  <c r="H57" i="2" s="1"/>
  <c r="A56" i="2"/>
  <c r="K56" i="2" s="1"/>
  <c r="A55" i="2"/>
  <c r="F55" i="2" s="1"/>
  <c r="A54" i="2"/>
  <c r="M54" i="2" s="1"/>
  <c r="A53" i="2"/>
  <c r="Q53" i="2" s="1"/>
  <c r="A52" i="2"/>
  <c r="K52" i="2" s="1"/>
  <c r="A51" i="2"/>
  <c r="H51" i="2" s="1"/>
  <c r="A50" i="2"/>
  <c r="J50" i="2" s="1"/>
  <c r="A49" i="2"/>
  <c r="H49" i="2" s="1"/>
  <c r="A48" i="2"/>
  <c r="I48" i="2" s="1"/>
  <c r="A47" i="2"/>
  <c r="P47" i="2" s="1"/>
  <c r="A43" i="2"/>
  <c r="M43" i="2" s="1"/>
  <c r="A42" i="2"/>
  <c r="Q42" i="2" s="1"/>
  <c r="A41" i="2"/>
  <c r="L41" i="2" s="1"/>
  <c r="A40" i="2"/>
  <c r="M40" i="2" s="1"/>
  <c r="A39" i="2"/>
  <c r="O39" i="2" s="1"/>
  <c r="A38" i="2"/>
  <c r="N38" i="2" s="1"/>
  <c r="A37" i="2"/>
  <c r="B37" i="2" s="1"/>
  <c r="A36" i="2"/>
  <c r="Q36" i="2" s="1"/>
  <c r="A35" i="2"/>
  <c r="L35" i="2" s="1"/>
  <c r="A34" i="2"/>
  <c r="M34" i="2" s="1"/>
  <c r="A33" i="2"/>
  <c r="K33" i="2" s="1"/>
  <c r="A32" i="2"/>
  <c r="L32" i="2" s="1"/>
  <c r="A31" i="2"/>
  <c r="N31" i="2" s="1"/>
  <c r="A30" i="2"/>
  <c r="E30" i="2" s="1"/>
  <c r="A29" i="2"/>
  <c r="L29" i="2" s="1"/>
  <c r="A28" i="2"/>
  <c r="H28" i="2" s="1"/>
  <c r="BC59" i="1"/>
  <c r="BB59" i="1"/>
  <c r="BA59" i="1"/>
  <c r="AZ59" i="1"/>
  <c r="AY59" i="1"/>
  <c r="AX59" i="1"/>
  <c r="AW59" i="1"/>
  <c r="AV59" i="1"/>
  <c r="AU59" i="1"/>
  <c r="AT59" i="1"/>
  <c r="AS59" i="1"/>
  <c r="AR59" i="1"/>
  <c r="AQ59" i="1"/>
  <c r="AP59" i="1"/>
  <c r="AO59" i="1"/>
  <c r="AN59" i="1"/>
  <c r="BC58" i="1"/>
  <c r="BB58" i="1"/>
  <c r="BA58" i="1"/>
  <c r="AZ58" i="1"/>
  <c r="AY58" i="1"/>
  <c r="AX58" i="1"/>
  <c r="AW58" i="1"/>
  <c r="AV58" i="1"/>
  <c r="AU58" i="1"/>
  <c r="AT58" i="1"/>
  <c r="AS58" i="1"/>
  <c r="AR58" i="1"/>
  <c r="AQ58" i="1"/>
  <c r="AP58" i="1"/>
  <c r="AO58" i="1"/>
  <c r="AN58" i="1"/>
  <c r="BC57" i="1"/>
  <c r="BB57" i="1"/>
  <c r="BA57" i="1"/>
  <c r="AZ57" i="1"/>
  <c r="AY57" i="1"/>
  <c r="AX57" i="1"/>
  <c r="AW57" i="1"/>
  <c r="AV57" i="1"/>
  <c r="AU57" i="1"/>
  <c r="AT57" i="1"/>
  <c r="AS57" i="1"/>
  <c r="AR57" i="1"/>
  <c r="AQ57" i="1"/>
  <c r="AP57" i="1"/>
  <c r="AO57" i="1"/>
  <c r="AN57" i="1"/>
  <c r="BC56" i="1"/>
  <c r="BB56" i="1"/>
  <c r="BA56" i="1"/>
  <c r="AZ56" i="1"/>
  <c r="AY56" i="1"/>
  <c r="AX56" i="1"/>
  <c r="AW56" i="1"/>
  <c r="AV56" i="1"/>
  <c r="AU56" i="1"/>
  <c r="AT56" i="1"/>
  <c r="AS56" i="1"/>
  <c r="AR56" i="1"/>
  <c r="AQ56" i="1"/>
  <c r="AP56" i="1"/>
  <c r="AO56" i="1"/>
  <c r="AN56" i="1"/>
  <c r="BC55" i="1"/>
  <c r="BB55" i="1"/>
  <c r="BA55" i="1"/>
  <c r="AZ55" i="1"/>
  <c r="AY55" i="1"/>
  <c r="AX55" i="1"/>
  <c r="AW55" i="1"/>
  <c r="AV55" i="1"/>
  <c r="AU55" i="1"/>
  <c r="AT55" i="1"/>
  <c r="AS55" i="1"/>
  <c r="AR55" i="1"/>
  <c r="AQ55" i="1"/>
  <c r="AP55" i="1"/>
  <c r="AO55" i="1"/>
  <c r="AN55" i="1"/>
  <c r="BC54" i="1"/>
  <c r="BB54" i="1"/>
  <c r="BA54" i="1"/>
  <c r="AZ54" i="1"/>
  <c r="AY54" i="1"/>
  <c r="AX54" i="1"/>
  <c r="AW54" i="1"/>
  <c r="AV54" i="1"/>
  <c r="AU54" i="1"/>
  <c r="AT54" i="1"/>
  <c r="AS54" i="1"/>
  <c r="AR54" i="1"/>
  <c r="AQ54" i="1"/>
  <c r="AP54" i="1"/>
  <c r="AO54" i="1"/>
  <c r="AN54" i="1"/>
  <c r="BC53" i="1"/>
  <c r="BB53" i="1"/>
  <c r="BA53" i="1"/>
  <c r="AZ53" i="1"/>
  <c r="AY53" i="1"/>
  <c r="AX53" i="1"/>
  <c r="AW53" i="1"/>
  <c r="AV53" i="1"/>
  <c r="AU53" i="1"/>
  <c r="AT53" i="1"/>
  <c r="AS53" i="1"/>
  <c r="AR53" i="1"/>
  <c r="AQ53" i="1"/>
  <c r="AP53" i="1"/>
  <c r="AO53" i="1"/>
  <c r="AN53" i="1"/>
  <c r="BC52" i="1"/>
  <c r="BB52" i="1"/>
  <c r="BA52" i="1"/>
  <c r="AZ52" i="1"/>
  <c r="AY52" i="1"/>
  <c r="AX52" i="1"/>
  <c r="AW52" i="1"/>
  <c r="AV52" i="1"/>
  <c r="AU52" i="1"/>
  <c r="AT52" i="1"/>
  <c r="AS52" i="1"/>
  <c r="AR52" i="1"/>
  <c r="AQ52" i="1"/>
  <c r="AP52" i="1"/>
  <c r="AO52" i="1"/>
  <c r="AN52" i="1"/>
  <c r="BC51" i="1"/>
  <c r="BB51" i="1"/>
  <c r="BA51" i="1"/>
  <c r="AZ51" i="1"/>
  <c r="AY51" i="1"/>
  <c r="AX51" i="1"/>
  <c r="AW51" i="1"/>
  <c r="AV51" i="1"/>
  <c r="AU51" i="1"/>
  <c r="AT51" i="1"/>
  <c r="AS51" i="1"/>
  <c r="AR51" i="1"/>
  <c r="AQ51" i="1"/>
  <c r="AP51" i="1"/>
  <c r="AO51" i="1"/>
  <c r="AN51" i="1"/>
  <c r="BC50" i="1"/>
  <c r="BB50" i="1"/>
  <c r="BA50" i="1"/>
  <c r="AZ50" i="1"/>
  <c r="AY50" i="1"/>
  <c r="AX50" i="1"/>
  <c r="AW50" i="1"/>
  <c r="AV50" i="1"/>
  <c r="AU50" i="1"/>
  <c r="AT50" i="1"/>
  <c r="AS50" i="1"/>
  <c r="AR50" i="1"/>
  <c r="AQ50" i="1"/>
  <c r="AP50" i="1"/>
  <c r="AO50" i="1"/>
  <c r="AN50" i="1"/>
  <c r="BC49" i="1"/>
  <c r="BB49" i="1"/>
  <c r="BA49" i="1"/>
  <c r="AZ49" i="1"/>
  <c r="AY49" i="1"/>
  <c r="AX49" i="1"/>
  <c r="AW49" i="1"/>
  <c r="AV49" i="1"/>
  <c r="AU49" i="1"/>
  <c r="AT49" i="1"/>
  <c r="AS49" i="1"/>
  <c r="AR49" i="1"/>
  <c r="AQ49" i="1"/>
  <c r="AP49" i="1"/>
  <c r="AO49" i="1"/>
  <c r="AN49" i="1"/>
  <c r="BC48" i="1"/>
  <c r="BB48" i="1"/>
  <c r="BA48" i="1"/>
  <c r="AZ48" i="1"/>
  <c r="AY48" i="1"/>
  <c r="AX48" i="1"/>
  <c r="AW48" i="1"/>
  <c r="AV48" i="1"/>
  <c r="AU48" i="1"/>
  <c r="AT48" i="1"/>
  <c r="AS48" i="1"/>
  <c r="AR48" i="1"/>
  <c r="AQ48" i="1"/>
  <c r="AP48" i="1"/>
  <c r="AO48" i="1"/>
  <c r="AN48" i="1"/>
  <c r="BC47" i="1"/>
  <c r="BB47" i="1"/>
  <c r="BA47" i="1"/>
  <c r="AZ47" i="1"/>
  <c r="AY47" i="1"/>
  <c r="AX47" i="1"/>
  <c r="AW47" i="1"/>
  <c r="AV47" i="1"/>
  <c r="AU47" i="1"/>
  <c r="AT47" i="1"/>
  <c r="AS47" i="1"/>
  <c r="AR47" i="1"/>
  <c r="AQ47" i="1"/>
  <c r="AP47" i="1"/>
  <c r="AO47" i="1"/>
  <c r="AN47" i="1"/>
  <c r="BC46" i="1"/>
  <c r="BB46" i="1"/>
  <c r="BA46" i="1"/>
  <c r="AZ46" i="1"/>
  <c r="AY46" i="1"/>
  <c r="AX46" i="1"/>
  <c r="AW46" i="1"/>
  <c r="AV46" i="1"/>
  <c r="AU46" i="1"/>
  <c r="AT46" i="1"/>
  <c r="AS46" i="1"/>
  <c r="AR46" i="1"/>
  <c r="AQ46" i="1"/>
  <c r="AP46" i="1"/>
  <c r="AO46" i="1"/>
  <c r="AN46" i="1"/>
  <c r="BC45" i="1"/>
  <c r="BB45" i="1"/>
  <c r="BA45" i="1"/>
  <c r="AZ45" i="1"/>
  <c r="AY45" i="1"/>
  <c r="AX45" i="1"/>
  <c r="AW45" i="1"/>
  <c r="AV45" i="1"/>
  <c r="AU45" i="1"/>
  <c r="AT45" i="1"/>
  <c r="AS45" i="1"/>
  <c r="AR45" i="1"/>
  <c r="AQ45" i="1"/>
  <c r="AP45" i="1"/>
  <c r="AO45" i="1"/>
  <c r="AN45" i="1"/>
  <c r="BC44" i="1"/>
  <c r="BB44" i="1"/>
  <c r="BA44" i="1"/>
  <c r="AZ44" i="1"/>
  <c r="AY44" i="1"/>
  <c r="AX44" i="1"/>
  <c r="AW44" i="1"/>
  <c r="AV44" i="1"/>
  <c r="AU44" i="1"/>
  <c r="AT44" i="1"/>
  <c r="AS44" i="1"/>
  <c r="AR44" i="1"/>
  <c r="AQ44" i="1"/>
  <c r="AP44" i="1"/>
  <c r="AO44" i="1"/>
  <c r="AN44" i="1"/>
  <c r="BC40" i="1"/>
  <c r="BB40" i="1"/>
  <c r="BA40" i="1"/>
  <c r="AZ40" i="1"/>
  <c r="AY40" i="1"/>
  <c r="AX40" i="1"/>
  <c r="AW40" i="1"/>
  <c r="AV40" i="1"/>
  <c r="AU40" i="1"/>
  <c r="AT40" i="1"/>
  <c r="AS40" i="1"/>
  <c r="AR40" i="1"/>
  <c r="AQ40" i="1"/>
  <c r="AP40" i="1"/>
  <c r="AO40" i="1"/>
  <c r="BC39" i="1"/>
  <c r="BB39" i="1"/>
  <c r="BA39" i="1"/>
  <c r="AZ39" i="1"/>
  <c r="AY39" i="1"/>
  <c r="AX39" i="1"/>
  <c r="AW39" i="1"/>
  <c r="AV39" i="1"/>
  <c r="AU39" i="1"/>
  <c r="AT39" i="1"/>
  <c r="AS39" i="1"/>
  <c r="AR39" i="1"/>
  <c r="AQ39" i="1"/>
  <c r="AP39" i="1"/>
  <c r="AO39" i="1"/>
  <c r="BC38" i="1"/>
  <c r="BB38" i="1"/>
  <c r="BA38" i="1"/>
  <c r="AZ38" i="1"/>
  <c r="AY38" i="1"/>
  <c r="AX38" i="1"/>
  <c r="AW38" i="1"/>
  <c r="AV38" i="1"/>
  <c r="AU38" i="1"/>
  <c r="AT38" i="1"/>
  <c r="AS38" i="1"/>
  <c r="AR38" i="1"/>
  <c r="AQ38" i="1"/>
  <c r="AP38" i="1"/>
  <c r="AO38" i="1"/>
  <c r="BC37" i="1"/>
  <c r="BB37" i="1"/>
  <c r="BA37" i="1"/>
  <c r="AZ37" i="1"/>
  <c r="AY37" i="1"/>
  <c r="AX37" i="1"/>
  <c r="AW37" i="1"/>
  <c r="AV37" i="1"/>
  <c r="AU37" i="1"/>
  <c r="AT37" i="1"/>
  <c r="AS37" i="1"/>
  <c r="AR37" i="1"/>
  <c r="AQ37" i="1"/>
  <c r="AP37" i="1"/>
  <c r="AO37" i="1"/>
  <c r="BC36" i="1"/>
  <c r="BB36" i="1"/>
  <c r="BA36" i="1"/>
  <c r="AZ36" i="1"/>
  <c r="AY36" i="1"/>
  <c r="AX36" i="1"/>
  <c r="AW36" i="1"/>
  <c r="AV36" i="1"/>
  <c r="AU36" i="1"/>
  <c r="AT36" i="1"/>
  <c r="AS36" i="1"/>
  <c r="AR36" i="1"/>
  <c r="AQ36" i="1"/>
  <c r="AP36" i="1"/>
  <c r="AO36" i="1"/>
  <c r="BC35" i="1"/>
  <c r="BB35" i="1"/>
  <c r="BA35" i="1"/>
  <c r="AZ35" i="1"/>
  <c r="AY35" i="1"/>
  <c r="AX35" i="1"/>
  <c r="AW35" i="1"/>
  <c r="AV35" i="1"/>
  <c r="AU35" i="1"/>
  <c r="AT35" i="1"/>
  <c r="AS35" i="1"/>
  <c r="AR35" i="1"/>
  <c r="AQ35" i="1"/>
  <c r="AP35" i="1"/>
  <c r="AO35" i="1"/>
  <c r="BC34" i="1"/>
  <c r="BB34" i="1"/>
  <c r="BA34" i="1"/>
  <c r="AZ34" i="1"/>
  <c r="AY34" i="1"/>
  <c r="AX34" i="1"/>
  <c r="AW34" i="1"/>
  <c r="AV34" i="1"/>
  <c r="AU34" i="1"/>
  <c r="AT34" i="1"/>
  <c r="AS34" i="1"/>
  <c r="AR34" i="1"/>
  <c r="AQ34" i="1"/>
  <c r="AP34" i="1"/>
  <c r="AO34" i="1"/>
  <c r="BC33" i="1"/>
  <c r="BB33" i="1"/>
  <c r="BA33" i="1"/>
  <c r="AZ33" i="1"/>
  <c r="AY33" i="1"/>
  <c r="AX33" i="1"/>
  <c r="AW33" i="1"/>
  <c r="AV33" i="1"/>
  <c r="AU33" i="1"/>
  <c r="AT33" i="1"/>
  <c r="AS33" i="1"/>
  <c r="AR33" i="1"/>
  <c r="AQ33" i="1"/>
  <c r="AP33" i="1"/>
  <c r="AO33" i="1"/>
  <c r="BC32" i="1"/>
  <c r="BB32" i="1"/>
  <c r="BA32" i="1"/>
  <c r="AZ32" i="1"/>
  <c r="AY32" i="1"/>
  <c r="AX32" i="1"/>
  <c r="AW32" i="1"/>
  <c r="AV32" i="1"/>
  <c r="AU32" i="1"/>
  <c r="AT32" i="1"/>
  <c r="AS32" i="1"/>
  <c r="AR32" i="1"/>
  <c r="AQ32" i="1"/>
  <c r="AP32" i="1"/>
  <c r="AO32" i="1"/>
  <c r="BC31" i="1"/>
  <c r="BB31" i="1"/>
  <c r="BA31" i="1"/>
  <c r="AZ31" i="1"/>
  <c r="AY31" i="1"/>
  <c r="AX31" i="1"/>
  <c r="AW31" i="1"/>
  <c r="AV31" i="1"/>
  <c r="AU31" i="1"/>
  <c r="AT31" i="1"/>
  <c r="AS31" i="1"/>
  <c r="AR31" i="1"/>
  <c r="AQ31" i="1"/>
  <c r="AP31" i="1"/>
  <c r="AO31" i="1"/>
  <c r="BC30" i="1"/>
  <c r="BB30" i="1"/>
  <c r="BA30" i="1"/>
  <c r="AZ30" i="1"/>
  <c r="AY30" i="1"/>
  <c r="AX30" i="1"/>
  <c r="AW30" i="1"/>
  <c r="AV30" i="1"/>
  <c r="AU30" i="1"/>
  <c r="AT30" i="1"/>
  <c r="AS30" i="1"/>
  <c r="AR30" i="1"/>
  <c r="AQ30" i="1"/>
  <c r="AP30" i="1"/>
  <c r="AO30" i="1"/>
  <c r="BC29" i="1"/>
  <c r="BB29" i="1"/>
  <c r="BA29" i="1"/>
  <c r="AZ29" i="1"/>
  <c r="AY29" i="1"/>
  <c r="AX29" i="1"/>
  <c r="AW29" i="1"/>
  <c r="AV29" i="1"/>
  <c r="AU29" i="1"/>
  <c r="AT29" i="1"/>
  <c r="AS29" i="1"/>
  <c r="AR29" i="1"/>
  <c r="AQ29" i="1"/>
  <c r="AP29" i="1"/>
  <c r="AO29" i="1"/>
  <c r="BC28" i="1"/>
  <c r="BB28" i="1"/>
  <c r="BA28" i="1"/>
  <c r="AZ28" i="1"/>
  <c r="AY28" i="1"/>
  <c r="AX28" i="1"/>
  <c r="AW28" i="1"/>
  <c r="AV28" i="1"/>
  <c r="AU28" i="1"/>
  <c r="AT28" i="1"/>
  <c r="AS28" i="1"/>
  <c r="AR28" i="1"/>
  <c r="AQ28" i="1"/>
  <c r="AP28" i="1"/>
  <c r="AO28" i="1"/>
  <c r="AN28" i="1"/>
  <c r="BC27" i="1"/>
  <c r="BB27" i="1"/>
  <c r="BA27" i="1"/>
  <c r="AZ27" i="1"/>
  <c r="AY27" i="1"/>
  <c r="AX27" i="1"/>
  <c r="AW27" i="1"/>
  <c r="AV27" i="1"/>
  <c r="AU27" i="1"/>
  <c r="AT27" i="1"/>
  <c r="AS27" i="1"/>
  <c r="AR27" i="1"/>
  <c r="AQ27" i="1"/>
  <c r="AP27" i="1"/>
  <c r="AO27" i="1"/>
  <c r="AN27" i="1"/>
  <c r="BC26" i="1"/>
  <c r="BB26" i="1"/>
  <c r="BA26" i="1"/>
  <c r="AZ26" i="1"/>
  <c r="AY26" i="1"/>
  <c r="AX26" i="1"/>
  <c r="AW26" i="1"/>
  <c r="AV26" i="1"/>
  <c r="AU26" i="1"/>
  <c r="AT26" i="1"/>
  <c r="AS26" i="1"/>
  <c r="AR26" i="1"/>
  <c r="AQ26" i="1"/>
  <c r="AP26" i="1"/>
  <c r="AO26" i="1"/>
  <c r="AN26" i="1"/>
  <c r="BC25" i="1"/>
  <c r="BB25" i="1"/>
  <c r="BA25" i="1"/>
  <c r="AZ25" i="1"/>
  <c r="AY25" i="1"/>
  <c r="AX25" i="1"/>
  <c r="AW25" i="1"/>
  <c r="AV25" i="1"/>
  <c r="AU25" i="1"/>
  <c r="AT25" i="1"/>
  <c r="AS25" i="1"/>
  <c r="AR25" i="1"/>
  <c r="AQ25" i="1"/>
  <c r="AP25" i="1"/>
  <c r="AO25" i="1"/>
  <c r="AN25" i="1"/>
  <c r="BD25" i="1" l="1"/>
  <c r="B47" i="2"/>
  <c r="BD45" i="1"/>
  <c r="BD47" i="1"/>
  <c r="BD50" i="1"/>
  <c r="BD52" i="1"/>
  <c r="BD53" i="1"/>
  <c r="BD54" i="1"/>
  <c r="BD55" i="1"/>
  <c r="BD57" i="1"/>
  <c r="BD44" i="1"/>
  <c r="BD49" i="1"/>
  <c r="BD59" i="1"/>
  <c r="BD46" i="1"/>
  <c r="BD51" i="1"/>
  <c r="BD56" i="1"/>
  <c r="BD48" i="1"/>
  <c r="BD58" i="1"/>
  <c r="BD28" i="1"/>
  <c r="BD38" i="1"/>
  <c r="BD40" i="1"/>
  <c r="BD31" i="1"/>
  <c r="BD37" i="1"/>
  <c r="BD39" i="1"/>
  <c r="BD36" i="1"/>
  <c r="BD27" i="1"/>
  <c r="BD30" i="1"/>
  <c r="BD29" i="1"/>
  <c r="BD33" i="1"/>
  <c r="BD35" i="1"/>
  <c r="BD26" i="1"/>
  <c r="BD32" i="1"/>
  <c r="BD34" i="1"/>
  <c r="K58" i="2"/>
  <c r="K32" i="2"/>
  <c r="P38" i="2"/>
  <c r="M32" i="2"/>
  <c r="C52" i="2"/>
  <c r="H52" i="2"/>
  <c r="J38" i="2"/>
  <c r="K38" i="2"/>
  <c r="N50" i="2"/>
  <c r="L56" i="2"/>
  <c r="N56" i="2"/>
  <c r="O50" i="2"/>
  <c r="E32" i="2"/>
  <c r="H38" i="2"/>
  <c r="I52" i="2"/>
  <c r="P56" i="2"/>
  <c r="I32" i="2"/>
  <c r="I38" i="2"/>
  <c r="N52" i="2"/>
  <c r="J58" i="2"/>
  <c r="C36" i="2"/>
  <c r="J48" i="2"/>
  <c r="D36" i="2"/>
  <c r="K48" i="2"/>
  <c r="P52" i="2"/>
  <c r="I62" i="2"/>
  <c r="P36" i="2"/>
  <c r="L48" i="2"/>
  <c r="B52" i="2"/>
  <c r="Q52" i="2"/>
  <c r="J62" i="2"/>
  <c r="I34" i="2"/>
  <c r="B32" i="2"/>
  <c r="J34" i="2"/>
  <c r="E52" i="2"/>
  <c r="L58" i="2"/>
  <c r="K28" i="2"/>
  <c r="C32" i="2"/>
  <c r="K34" i="2"/>
  <c r="C38" i="2"/>
  <c r="K50" i="2"/>
  <c r="F52" i="2"/>
  <c r="M58" i="2"/>
  <c r="N48" i="2"/>
  <c r="D52" i="2"/>
  <c r="D32" i="2"/>
  <c r="L34" i="2"/>
  <c r="G38" i="2"/>
  <c r="L50" i="2"/>
  <c r="G52" i="2"/>
  <c r="K41" i="2"/>
  <c r="I29" i="2"/>
  <c r="J29" i="2"/>
  <c r="H35" i="2"/>
  <c r="I49" i="2"/>
  <c r="J51" i="2"/>
  <c r="I57" i="2"/>
  <c r="K29" i="2"/>
  <c r="I35" i="2"/>
  <c r="O38" i="2"/>
  <c r="N43" i="2"/>
  <c r="J49" i="2"/>
  <c r="K51" i="2"/>
  <c r="L55" i="2"/>
  <c r="J57" i="2"/>
  <c r="F29" i="2"/>
  <c r="K57" i="2"/>
  <c r="O35" i="2"/>
  <c r="D38" i="2"/>
  <c r="Q38" i="2"/>
  <c r="N49" i="2"/>
  <c r="N51" i="2"/>
  <c r="J52" i="2"/>
  <c r="P55" i="2"/>
  <c r="N57" i="2"/>
  <c r="N61" i="2"/>
  <c r="N41" i="2"/>
  <c r="N29" i="2"/>
  <c r="M35" i="2"/>
  <c r="O43" i="2"/>
  <c r="M51" i="2"/>
  <c r="P35" i="2"/>
  <c r="E38" i="2"/>
  <c r="M52" i="2"/>
  <c r="O61" i="2"/>
  <c r="K49" i="2"/>
  <c r="O55" i="2"/>
  <c r="F38" i="2"/>
  <c r="H58" i="2"/>
  <c r="M60" i="2"/>
  <c r="C33" i="2"/>
  <c r="D28" i="2"/>
  <c r="G31" i="2"/>
  <c r="E33" i="2"/>
  <c r="P37" i="2"/>
  <c r="D41" i="2"/>
  <c r="K47" i="2"/>
  <c r="O49" i="2"/>
  <c r="Q51" i="2"/>
  <c r="N54" i="2"/>
  <c r="O57" i="2"/>
  <c r="E60" i="2"/>
  <c r="P60" i="2"/>
  <c r="C62" i="2"/>
  <c r="N62" i="2"/>
  <c r="L60" i="2"/>
  <c r="B33" i="2"/>
  <c r="M33" i="2"/>
  <c r="N28" i="2"/>
  <c r="O28" i="2"/>
  <c r="E28" i="2"/>
  <c r="Q28" i="2"/>
  <c r="P29" i="2"/>
  <c r="H31" i="2"/>
  <c r="J32" i="2"/>
  <c r="F33" i="2"/>
  <c r="Q33" i="2"/>
  <c r="B35" i="2"/>
  <c r="E41" i="2"/>
  <c r="P42" i="2"/>
  <c r="L47" i="2"/>
  <c r="C49" i="2"/>
  <c r="P49" i="2"/>
  <c r="B51" i="2"/>
  <c r="L52" i="2"/>
  <c r="C57" i="2"/>
  <c r="Q57" i="2"/>
  <c r="O58" i="2"/>
  <c r="F60" i="2"/>
  <c r="Q60" i="2"/>
  <c r="D62" i="2"/>
  <c r="O62" i="2"/>
  <c r="L33" i="2"/>
  <c r="M28" i="2"/>
  <c r="O40" i="2"/>
  <c r="N33" i="2"/>
  <c r="O41" i="2"/>
  <c r="L62" i="2"/>
  <c r="C28" i="2"/>
  <c r="M37" i="2"/>
  <c r="G47" i="2"/>
  <c r="O60" i="2"/>
  <c r="B62" i="2"/>
  <c r="Q29" i="2"/>
  <c r="G33" i="2"/>
  <c r="M47" i="2"/>
  <c r="C51" i="2"/>
  <c r="G28" i="2"/>
  <c r="B29" i="2"/>
  <c r="L31" i="2"/>
  <c r="H33" i="2"/>
  <c r="C34" i="2"/>
  <c r="D35" i="2"/>
  <c r="H41" i="2"/>
  <c r="E49" i="2"/>
  <c r="F51" i="2"/>
  <c r="E57" i="2"/>
  <c r="B58" i="2"/>
  <c r="J59" i="2"/>
  <c r="H60" i="2"/>
  <c r="K61" i="2"/>
  <c r="F62" i="2"/>
  <c r="Q62" i="2"/>
  <c r="B60" i="2"/>
  <c r="E31" i="2"/>
  <c r="E37" i="2"/>
  <c r="C60" i="2"/>
  <c r="O33" i="2"/>
  <c r="C41" i="2"/>
  <c r="D60" i="2"/>
  <c r="P28" i="2"/>
  <c r="F28" i="2"/>
  <c r="I31" i="2"/>
  <c r="C35" i="2"/>
  <c r="Q49" i="2"/>
  <c r="D57" i="2"/>
  <c r="E62" i="2"/>
  <c r="I28" i="2"/>
  <c r="D29" i="2"/>
  <c r="P30" i="2"/>
  <c r="Q31" i="2"/>
  <c r="O32" i="2"/>
  <c r="I33" i="2"/>
  <c r="G34" i="2"/>
  <c r="E35" i="2"/>
  <c r="I41" i="2"/>
  <c r="B43" i="2"/>
  <c r="H48" i="2"/>
  <c r="F49" i="2"/>
  <c r="G50" i="2"/>
  <c r="G51" i="2"/>
  <c r="O52" i="2"/>
  <c r="G57" i="2"/>
  <c r="D58" i="2"/>
  <c r="L59" i="2"/>
  <c r="I60" i="2"/>
  <c r="L61" i="2"/>
  <c r="G62" i="2"/>
  <c r="D31" i="2"/>
  <c r="B28" i="2"/>
  <c r="N60" i="2"/>
  <c r="F31" i="2"/>
  <c r="D33" i="2"/>
  <c r="P41" i="2"/>
  <c r="M62" i="2"/>
  <c r="P33" i="2"/>
  <c r="F41" i="2"/>
  <c r="D49" i="2"/>
  <c r="G60" i="2"/>
  <c r="P62" i="2"/>
  <c r="J28" i="2"/>
  <c r="E29" i="2"/>
  <c r="Q30" i="2"/>
  <c r="P32" i="2"/>
  <c r="J33" i="2"/>
  <c r="H34" i="2"/>
  <c r="F35" i="2"/>
  <c r="J41" i="2"/>
  <c r="G49" i="2"/>
  <c r="I51" i="2"/>
  <c r="M59" i="2"/>
  <c r="J60" i="2"/>
  <c r="M61" i="2"/>
  <c r="H62" i="2"/>
  <c r="C39" i="2"/>
  <c r="M39" i="2"/>
  <c r="L36" i="2"/>
  <c r="B36" i="2"/>
  <c r="H36" i="2"/>
  <c r="G36" i="2"/>
  <c r="N36" i="2"/>
  <c r="I36" i="2"/>
  <c r="M36" i="2"/>
  <c r="K36" i="2"/>
  <c r="F36" i="2"/>
  <c r="J36" i="2"/>
  <c r="N39" i="2"/>
  <c r="Q54" i="2"/>
  <c r="G54" i="2"/>
  <c r="I54" i="2"/>
  <c r="H54" i="2"/>
  <c r="O54" i="2"/>
  <c r="D54" i="2"/>
  <c r="L54" i="2"/>
  <c r="B54" i="2"/>
  <c r="K54" i="2"/>
  <c r="J54" i="2"/>
  <c r="E54" i="2"/>
  <c r="F54" i="2"/>
  <c r="C54" i="2"/>
  <c r="L42" i="2"/>
  <c r="B42" i="2"/>
  <c r="J42" i="2"/>
  <c r="I42" i="2"/>
  <c r="N42" i="2"/>
  <c r="M42" i="2"/>
  <c r="F42" i="2"/>
  <c r="K42" i="2"/>
  <c r="G42" i="2"/>
  <c r="E42" i="2"/>
  <c r="H42" i="2"/>
  <c r="B30" i="2"/>
  <c r="C40" i="2"/>
  <c r="C42" i="2"/>
  <c r="E36" i="2"/>
  <c r="D42" i="2"/>
  <c r="P54" i="2"/>
  <c r="Q39" i="2"/>
  <c r="G39" i="2"/>
  <c r="I39" i="2"/>
  <c r="H39" i="2"/>
  <c r="L39" i="2"/>
  <c r="K39" i="2"/>
  <c r="J39" i="2"/>
  <c r="D39" i="2"/>
  <c r="F39" i="2"/>
  <c r="E39" i="2"/>
  <c r="B39" i="2"/>
  <c r="N53" i="2"/>
  <c r="D53" i="2"/>
  <c r="O53" i="2"/>
  <c r="C53" i="2"/>
  <c r="M53" i="2"/>
  <c r="B53" i="2"/>
  <c r="J53" i="2"/>
  <c r="L53" i="2"/>
  <c r="G53" i="2"/>
  <c r="F53" i="2"/>
  <c r="K53" i="2"/>
  <c r="I53" i="2"/>
  <c r="H53" i="2"/>
  <c r="E53" i="2"/>
  <c r="P53" i="2"/>
  <c r="H30" i="2"/>
  <c r="O30" i="2"/>
  <c r="D30" i="2"/>
  <c r="N30" i="2"/>
  <c r="C30" i="2"/>
  <c r="M30" i="2"/>
  <c r="L30" i="2"/>
  <c r="K30" i="2"/>
  <c r="I30" i="2"/>
  <c r="G30" i="2"/>
  <c r="J30" i="2"/>
  <c r="L40" i="2"/>
  <c r="B40" i="2"/>
  <c r="Q40" i="2"/>
  <c r="F40" i="2"/>
  <c r="P40" i="2"/>
  <c r="E40" i="2"/>
  <c r="K40" i="2"/>
  <c r="J40" i="2"/>
  <c r="I40" i="2"/>
  <c r="G40" i="2"/>
  <c r="H40" i="2"/>
  <c r="D40" i="2"/>
  <c r="P39" i="2"/>
  <c r="F30" i="2"/>
  <c r="O36" i="2"/>
  <c r="Q37" i="2"/>
  <c r="G37" i="2"/>
  <c r="O37" i="2"/>
  <c r="D37" i="2"/>
  <c r="N37" i="2"/>
  <c r="C37" i="2"/>
  <c r="L37" i="2"/>
  <c r="K37" i="2"/>
  <c r="H37" i="2"/>
  <c r="J37" i="2"/>
  <c r="I37" i="2"/>
  <c r="F37" i="2"/>
  <c r="N40" i="2"/>
  <c r="O42" i="2"/>
  <c r="Q43" i="2"/>
  <c r="G43" i="2"/>
  <c r="F43" i="2"/>
  <c r="P43" i="2"/>
  <c r="E43" i="2"/>
  <c r="L43" i="2"/>
  <c r="C43" i="2"/>
  <c r="K43" i="2"/>
  <c r="J43" i="2"/>
  <c r="D43" i="2"/>
  <c r="I43" i="2"/>
  <c r="H43" i="2"/>
  <c r="M56" i="2"/>
  <c r="C56" i="2"/>
  <c r="H56" i="2"/>
  <c r="G56" i="2"/>
  <c r="O56" i="2"/>
  <c r="D56" i="2"/>
  <c r="E55" i="2"/>
  <c r="C47" i="2"/>
  <c r="M48" i="2"/>
  <c r="C48" i="2"/>
  <c r="Q48" i="2"/>
  <c r="F48" i="2"/>
  <c r="P48" i="2"/>
  <c r="E48" i="2"/>
  <c r="O48" i="2"/>
  <c r="M50" i="2"/>
  <c r="C50" i="2"/>
  <c r="I50" i="2"/>
  <c r="H50" i="2"/>
  <c r="P50" i="2"/>
  <c r="E50" i="2"/>
  <c r="Q50" i="2"/>
  <c r="E56" i="2"/>
  <c r="E59" i="2"/>
  <c r="J55" i="2"/>
  <c r="N55" i="2"/>
  <c r="C55" i="2"/>
  <c r="M55" i="2"/>
  <c r="B55" i="2"/>
  <c r="I55" i="2"/>
  <c r="H47" i="2"/>
  <c r="J47" i="2"/>
  <c r="I47" i="2"/>
  <c r="Q56" i="2"/>
  <c r="P61" i="2"/>
  <c r="F61" i="2"/>
  <c r="H61" i="2"/>
  <c r="J61" i="2"/>
  <c r="I61" i="2"/>
  <c r="Q61" i="2"/>
  <c r="D61" i="2"/>
  <c r="D47" i="2"/>
  <c r="Q47" i="2"/>
  <c r="B48" i="2"/>
  <c r="B50" i="2"/>
  <c r="G55" i="2"/>
  <c r="F56" i="2"/>
  <c r="I58" i="2"/>
  <c r="G58" i="2"/>
  <c r="Q58" i="2"/>
  <c r="F58" i="2"/>
  <c r="N58" i="2"/>
  <c r="C58" i="2"/>
  <c r="P58" i="2"/>
  <c r="G59" i="2"/>
  <c r="C61" i="2"/>
  <c r="Q55" i="2"/>
  <c r="N47" i="2"/>
  <c r="D55" i="2"/>
  <c r="B56" i="2"/>
  <c r="M31" i="2"/>
  <c r="C31" i="2"/>
  <c r="K31" i="2"/>
  <c r="J31" i="2"/>
  <c r="O31" i="2"/>
  <c r="N34" i="2"/>
  <c r="D34" i="2"/>
  <c r="Q34" i="2"/>
  <c r="F34" i="2"/>
  <c r="P34" i="2"/>
  <c r="E34" i="2"/>
  <c r="O34" i="2"/>
  <c r="E47" i="2"/>
  <c r="D48" i="2"/>
  <c r="D50" i="2"/>
  <c r="H55" i="2"/>
  <c r="I56" i="2"/>
  <c r="E61" i="2"/>
  <c r="O47" i="2"/>
  <c r="P59" i="2"/>
  <c r="F59" i="2"/>
  <c r="O59" i="2"/>
  <c r="D59" i="2"/>
  <c r="Q59" i="2"/>
  <c r="C59" i="2"/>
  <c r="N59" i="2"/>
  <c r="B59" i="2"/>
  <c r="K59" i="2"/>
  <c r="M29" i="2"/>
  <c r="C29" i="2"/>
  <c r="H29" i="2"/>
  <c r="G29" i="2"/>
  <c r="O29" i="2"/>
  <c r="B31" i="2"/>
  <c r="P31" i="2"/>
  <c r="H32" i="2"/>
  <c r="G32" i="2"/>
  <c r="Q32" i="2"/>
  <c r="F32" i="2"/>
  <c r="N32" i="2"/>
  <c r="B34" i="2"/>
  <c r="Q35" i="2"/>
  <c r="G35" i="2"/>
  <c r="K35" i="2"/>
  <c r="J35" i="2"/>
  <c r="N35" i="2"/>
  <c r="F47" i="2"/>
  <c r="G48" i="2"/>
  <c r="F50" i="2"/>
  <c r="K55" i="2"/>
  <c r="J56" i="2"/>
  <c r="I59" i="2"/>
  <c r="G61" i="2"/>
  <c r="L51" i="2"/>
  <c r="L49" i="2"/>
  <c r="D51" i="2"/>
  <c r="O51" i="2"/>
  <c r="P57" i="2"/>
  <c r="F57" i="2"/>
  <c r="L57" i="2"/>
  <c r="Q41" i="2"/>
  <c r="G41" i="2"/>
  <c r="L28" i="2"/>
  <c r="L38" i="2"/>
  <c r="B38" i="2"/>
  <c r="M38" i="2"/>
  <c r="B41" i="2"/>
  <c r="M41" i="2"/>
  <c r="B49" i="2"/>
  <c r="M49" i="2"/>
  <c r="E51" i="2"/>
  <c r="P51" i="2"/>
  <c r="B57" i="2"/>
  <c r="M57" i="2"/>
  <c r="J21" i="1" l="1"/>
  <c r="A17" i="1"/>
  <c r="B17" i="1" s="1"/>
</calcChain>
</file>

<file path=xl/sharedStrings.xml><?xml version="1.0" encoding="utf-8"?>
<sst xmlns="http://schemas.openxmlformats.org/spreadsheetml/2006/main" count="39" uniqueCount="21">
  <si>
    <t>SCREEN</t>
  </si>
  <si>
    <t>MASK</t>
  </si>
  <si>
    <t>BLACK</t>
  </si>
  <si>
    <t>WHITE</t>
  </si>
  <si>
    <t>TRNSP</t>
  </si>
  <si>
    <t>XOR</t>
  </si>
  <si>
    <t>Hotspot</t>
  </si>
  <si>
    <t>Cursor String:</t>
  </si>
  <si>
    <t>X:</t>
  </si>
  <si>
    <t>Y:</t>
  </si>
  <si>
    <t>An AGI cursor string should be a series of two digit hex values, exactly 132 characters long (66 hex values). First two hex values are the hotspot of the cursor. The next 32 hex values are the screen map data, and the laast 32 hex values are the mask data.</t>
  </si>
  <si>
    <t>Use this page to enter a cursor definition string, and display its image. Useful to verify that a cursor string is properly formatted.</t>
  </si>
  <si>
    <t>Enter the cursor definition string below to view the cursor's image.</t>
  </si>
  <si>
    <t>Cursor Display Color Codes:</t>
  </si>
  <si>
    <t>PIXEL COLOR</t>
  </si>
  <si>
    <t>40 COLUMN VIEW</t>
  </si>
  <si>
    <t>80 COLUMN VIEW</t>
  </si>
  <si>
    <t>AGI Power Pack Cursor Viewer</t>
  </si>
  <si>
    <t>AGI Power Pack Cursor Editor</t>
  </si>
  <si>
    <t>0803FFFFFFFF1FFE07F801F000F000F000F00090000000000000018001C003E007F0000000000000C000D806DA06DA06DA06DA06FA6FFE7FFE7FFC3FFC1FF80F0000</t>
  </si>
  <si>
    <t>This page can be used to create cursors that can be loaded into AGI when using the Power Pack. Edit the data in the SCREEN and MASK grids to create a cursor. The cursor string that can be read by the Power Pack is displayed in cell A20. You can then copy it to add to you logic script.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</si>
</sst>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name val="Arial"/>
    </font>
    <font>
      <sz val="10"/>
      <color theme="0"/>
      <name val="Arial"/>
      <family val="2"/>
    </font>
    <font>
      <sz val="10"/>
      <name val="Consolas"/>
      <family val="3"/>
    </font>
    <font>
      <sz val="10"/>
      <name val="Arial"/>
      <family val="2"/>
    </font>
    <font>
      <sz val="8"/>
      <name val="Arial"/>
      <family val="2"/>
    </font>
    <font>
      <sz val="20"/>
      <name val="Arial"/>
      <family val="2"/>
    </font>
    <font>
      <sz val="10"/>
      <color theme="0"/>
      <name val="Consolas"/>
      <family val="3"/>
    </font>
  </fonts>
  <fills count="7">
    <fill>
      <patternFill patternType="none"/>
    </fill>
    <fill>
      <patternFill patternType="gray125"/>
    </fill>
    <fill>
      <patternFill patternType="solid">
        <fgColor theme="0" tint="-0.249977111117893"/>
        <bgColor indexed="64"/>
      </patternFill>
    </fill>
    <fill>
      <patternFill patternType="solid">
        <fgColor theme="1"/>
        <bgColor indexed="64"/>
      </patternFill>
    </fill>
    <fill>
      <patternFill patternType="solid">
        <fgColor rgb="FFFFAFAF"/>
        <bgColor indexed="64"/>
      </patternFill>
    </fill>
    <fill>
      <patternFill patternType="solid">
        <fgColor theme="9" tint="0.79998168889431442"/>
        <bgColor indexed="64"/>
      </patternFill>
    </fill>
    <fill>
      <patternFill patternType="solid">
        <fgColor theme="8" tint="0.79998168889431442"/>
        <bgColor indexed="64"/>
      </patternFill>
    </fill>
  </fills>
  <borders count="22">
    <border>
      <left/>
      <right/>
      <top/>
      <bottom/>
      <diagonal/>
    </border>
    <border>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top style="medium">
        <color indexed="64"/>
      </top>
      <bottom style="medium">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93">
    <xf numFmtId="0" fontId="0" fillId="0" borderId="0" xfId="0"/>
    <xf numFmtId="0" fontId="0" fillId="0" borderId="0" xfId="0" applyProtection="1">
      <protection hidden="1"/>
    </xf>
    <xf numFmtId="0" fontId="3" fillId="0" borderId="0" xfId="0" applyFont="1" applyBorder="1" applyAlignment="1" applyProtection="1">
      <alignment horizontal="left" wrapText="1"/>
      <protection hidden="1"/>
    </xf>
    <xf numFmtId="0" fontId="0" fillId="0" borderId="0" xfId="0" applyBorder="1" applyProtection="1">
      <protection hidden="1"/>
    </xf>
    <xf numFmtId="0" fontId="0" fillId="0" borderId="0" xfId="0" applyBorder="1" applyProtection="1">
      <protection hidden="1"/>
    </xf>
    <xf numFmtId="0" fontId="3" fillId="0" borderId="0" xfId="0" applyFont="1" applyBorder="1" applyAlignment="1" applyProtection="1">
      <alignment wrapText="1"/>
      <protection hidden="1"/>
    </xf>
    <xf numFmtId="0" fontId="3" fillId="0" borderId="0" xfId="0" applyFont="1" applyBorder="1" applyProtection="1">
      <protection hidden="1"/>
    </xf>
    <xf numFmtId="0" fontId="3" fillId="0" borderId="0" xfId="0" applyFont="1" applyBorder="1" applyProtection="1">
      <protection hidden="1"/>
    </xf>
    <xf numFmtId="0" fontId="3" fillId="0" borderId="0" xfId="0" applyFont="1" applyProtection="1">
      <protection hidden="1"/>
    </xf>
    <xf numFmtId="0" fontId="0" fillId="0" borderId="0" xfId="0" applyAlignment="1" applyProtection="1">
      <alignment horizontal="center"/>
      <protection hidden="1"/>
    </xf>
    <xf numFmtId="0" fontId="0" fillId="0" borderId="0" xfId="0" applyBorder="1" applyAlignment="1" applyProtection="1">
      <alignment horizontal="center"/>
      <protection hidden="1"/>
    </xf>
    <xf numFmtId="0" fontId="0" fillId="3" borderId="10" xfId="0" applyFill="1" applyBorder="1" applyProtection="1">
      <protection hidden="1"/>
    </xf>
    <xf numFmtId="0" fontId="0" fillId="0" borderId="10" xfId="0" applyBorder="1" applyProtection="1">
      <protection hidden="1"/>
    </xf>
    <xf numFmtId="0" fontId="0" fillId="2" borderId="10" xfId="0" applyFill="1" applyBorder="1" applyProtection="1">
      <protection hidden="1"/>
    </xf>
    <xf numFmtId="0" fontId="0" fillId="4" borderId="10" xfId="0" applyFill="1" applyBorder="1" applyProtection="1">
      <protection hidden="1"/>
    </xf>
    <xf numFmtId="11" fontId="2" fillId="0" borderId="0" xfId="0" applyNumberFormat="1" applyFont="1" applyProtection="1">
      <protection hidden="1"/>
    </xf>
    <xf numFmtId="0" fontId="3" fillId="2" borderId="2" xfId="0" applyFont="1" applyFill="1" applyBorder="1" applyProtection="1">
      <protection hidden="1"/>
    </xf>
    <xf numFmtId="0" fontId="0" fillId="2" borderId="3" xfId="0" applyFill="1" applyBorder="1" applyProtection="1">
      <protection hidden="1"/>
    </xf>
    <xf numFmtId="0" fontId="0" fillId="2" borderId="4" xfId="0" applyFill="1" applyBorder="1" applyProtection="1">
      <protection hidden="1"/>
    </xf>
    <xf numFmtId="0" fontId="0" fillId="2" borderId="5" xfId="0" applyFill="1" applyBorder="1" applyProtection="1">
      <protection hidden="1"/>
    </xf>
    <xf numFmtId="0" fontId="0" fillId="2" borderId="0" xfId="0" applyFill="1" applyProtection="1">
      <protection hidden="1"/>
    </xf>
    <xf numFmtId="0" fontId="0" fillId="2" borderId="6" xfId="0" applyFill="1" applyBorder="1" applyProtection="1">
      <protection hidden="1"/>
    </xf>
    <xf numFmtId="0" fontId="0" fillId="0" borderId="0" xfId="0" quotePrefix="1" applyProtection="1">
      <protection hidden="1"/>
    </xf>
    <xf numFmtId="0" fontId="0" fillId="2" borderId="7" xfId="0" applyFill="1" applyBorder="1" applyProtection="1">
      <protection hidden="1"/>
    </xf>
    <xf numFmtId="0" fontId="0" fillId="2" borderId="8" xfId="0" applyFill="1" applyBorder="1" applyProtection="1">
      <protection hidden="1"/>
    </xf>
    <xf numFmtId="0" fontId="0" fillId="2" borderId="9" xfId="0" applyFill="1" applyBorder="1" applyProtection="1">
      <protection hidden="1"/>
    </xf>
    <xf numFmtId="0" fontId="2" fillId="0" borderId="0" xfId="0" applyFont="1" applyFill="1" applyBorder="1" applyAlignment="1" applyProtection="1">
      <alignment wrapText="1"/>
      <protection hidden="1"/>
    </xf>
    <xf numFmtId="0" fontId="3" fillId="0" borderId="0" xfId="0" applyFont="1" applyBorder="1" applyAlignment="1" applyProtection="1">
      <alignment wrapText="1"/>
      <protection hidden="1"/>
    </xf>
    <xf numFmtId="0" fontId="2" fillId="0" borderId="0" xfId="0" applyFont="1" applyFill="1" applyBorder="1" applyAlignment="1" applyProtection="1">
      <alignment wrapText="1"/>
      <protection locked="0"/>
    </xf>
    <xf numFmtId="0" fontId="4" fillId="2" borderId="2" xfId="0" applyFont="1" applyFill="1" applyBorder="1" applyProtection="1">
      <protection hidden="1"/>
    </xf>
    <xf numFmtId="0" fontId="4" fillId="2" borderId="3" xfId="0" applyFont="1" applyFill="1" applyBorder="1" applyProtection="1">
      <protection hidden="1"/>
    </xf>
    <xf numFmtId="0" fontId="4" fillId="2" borderId="4" xfId="0" applyFont="1" applyFill="1" applyBorder="1" applyProtection="1">
      <protection hidden="1"/>
    </xf>
    <xf numFmtId="0" fontId="4" fillId="2" borderId="5" xfId="0" applyFont="1" applyFill="1" applyBorder="1" applyProtection="1">
      <protection hidden="1"/>
    </xf>
    <xf numFmtId="0" fontId="4" fillId="2" borderId="0" xfId="0" applyFont="1" applyFill="1" applyProtection="1">
      <protection hidden="1"/>
    </xf>
    <xf numFmtId="0" fontId="4" fillId="2" borderId="6" xfId="0" applyFont="1" applyFill="1" applyBorder="1" applyProtection="1">
      <protection hidden="1"/>
    </xf>
    <xf numFmtId="0" fontId="4" fillId="2" borderId="7" xfId="0" applyFont="1" applyFill="1" applyBorder="1" applyProtection="1">
      <protection hidden="1"/>
    </xf>
    <xf numFmtId="0" fontId="4" fillId="2" borderId="8" xfId="0" applyFont="1" applyFill="1" applyBorder="1" applyProtection="1">
      <protection hidden="1"/>
    </xf>
    <xf numFmtId="0" fontId="4" fillId="2" borderId="9" xfId="0" applyFont="1" applyFill="1" applyBorder="1" applyProtection="1">
      <protection hidden="1"/>
    </xf>
    <xf numFmtId="0" fontId="0" fillId="0" borderId="0" xfId="0" applyFill="1" applyProtection="1">
      <protection hidden="1"/>
    </xf>
    <xf numFmtId="0" fontId="2" fillId="0" borderId="0" xfId="0" quotePrefix="1" applyFont="1" applyFill="1" applyProtection="1">
      <protection hidden="1"/>
    </xf>
    <xf numFmtId="0" fontId="2" fillId="0" borderId="0" xfId="0" applyFont="1" applyFill="1" applyProtection="1">
      <protection hidden="1"/>
    </xf>
    <xf numFmtId="0" fontId="3" fillId="0" borderId="0" xfId="0" applyFont="1" applyAlignment="1" applyProtection="1">
      <alignment horizontal="center"/>
      <protection hidden="1"/>
    </xf>
    <xf numFmtId="0" fontId="0" fillId="0" borderId="14" xfId="0" applyBorder="1" applyProtection="1">
      <protection hidden="1"/>
    </xf>
    <xf numFmtId="0" fontId="0" fillId="0" borderId="15" xfId="0" applyBorder="1" applyProtection="1">
      <protection hidden="1"/>
    </xf>
    <xf numFmtId="0" fontId="0" fillId="0" borderId="17" xfId="0" applyBorder="1" applyProtection="1">
      <protection hidden="1"/>
    </xf>
    <xf numFmtId="0" fontId="0" fillId="0" borderId="18" xfId="0" applyBorder="1" applyProtection="1">
      <protection hidden="1"/>
    </xf>
    <xf numFmtId="0" fontId="3" fillId="0" borderId="0" xfId="0" applyFont="1" applyBorder="1" applyAlignment="1" applyProtection="1">
      <alignment horizontal="center"/>
      <protection hidden="1"/>
    </xf>
    <xf numFmtId="0" fontId="0" fillId="0" borderId="19" xfId="0" applyBorder="1" applyProtection="1">
      <protection hidden="1"/>
    </xf>
    <xf numFmtId="0" fontId="0" fillId="0" borderId="20" xfId="0" applyBorder="1" applyProtection="1">
      <protection hidden="1"/>
    </xf>
    <xf numFmtId="0" fontId="0" fillId="0" borderId="1" xfId="0" applyBorder="1" applyProtection="1">
      <protection hidden="1"/>
    </xf>
    <xf numFmtId="0" fontId="0" fillId="0" borderId="21" xfId="0" applyBorder="1" applyProtection="1">
      <protection hidden="1"/>
    </xf>
    <xf numFmtId="0" fontId="0" fillId="5" borderId="12" xfId="0" applyFill="1" applyBorder="1" applyAlignment="1" applyProtection="1">
      <alignment horizontal="center"/>
      <protection hidden="1"/>
    </xf>
    <xf numFmtId="0" fontId="0" fillId="5" borderId="13" xfId="0" applyFill="1" applyBorder="1" applyAlignment="1" applyProtection="1">
      <alignment horizontal="center"/>
      <protection hidden="1"/>
    </xf>
    <xf numFmtId="0" fontId="1" fillId="0" borderId="0" xfId="0" applyFont="1" applyFill="1" applyProtection="1">
      <protection hidden="1"/>
    </xf>
    <xf numFmtId="0" fontId="0" fillId="0" borderId="0" xfId="0" applyBorder="1" applyAlignment="1" applyProtection="1">
      <alignment horizontal="center"/>
      <protection hidden="1"/>
    </xf>
    <xf numFmtId="0" fontId="5" fillId="0" borderId="0" xfId="0" applyFont="1" applyBorder="1" applyAlignment="1" applyProtection="1">
      <alignment horizontal="center"/>
      <protection hidden="1"/>
    </xf>
    <xf numFmtId="0" fontId="0" fillId="0" borderId="0" xfId="0" applyBorder="1" applyAlignment="1" applyProtection="1">
      <protection hidden="1"/>
    </xf>
    <xf numFmtId="0" fontId="0" fillId="0" borderId="0" xfId="0" applyAlignment="1" applyProtection="1">
      <alignment horizontal="center" vertical="center"/>
      <protection hidden="1"/>
    </xf>
    <xf numFmtId="0" fontId="0" fillId="0" borderId="0" xfId="0" applyFill="1" applyAlignment="1" applyProtection="1">
      <alignment horizontal="center" vertical="center"/>
      <protection hidden="1"/>
    </xf>
    <xf numFmtId="0" fontId="0" fillId="2" borderId="2" xfId="0" applyFill="1" applyBorder="1" applyProtection="1">
      <protection hidden="1"/>
    </xf>
    <xf numFmtId="0" fontId="0" fillId="0" borderId="0" xfId="0" applyFill="1" applyBorder="1" applyProtection="1">
      <protection hidden="1"/>
    </xf>
    <xf numFmtId="0" fontId="0" fillId="0" borderId="0" xfId="0" applyFill="1" applyAlignment="1" applyProtection="1">
      <alignment horizontal="center"/>
      <protection hidden="1"/>
    </xf>
    <xf numFmtId="0" fontId="6" fillId="0" borderId="0" xfId="0" quotePrefix="1" applyFont="1" applyFill="1" applyProtection="1">
      <protection hidden="1"/>
    </xf>
    <xf numFmtId="0" fontId="0" fillId="0" borderId="0" xfId="0" applyFill="1" applyAlignment="1" applyProtection="1">
      <alignment horizontal="left" vertical="center"/>
      <protection hidden="1"/>
    </xf>
    <xf numFmtId="0" fontId="2" fillId="0" borderId="0" xfId="0" applyFont="1" applyFill="1" applyBorder="1" applyAlignment="1" applyProtection="1">
      <protection locked="0"/>
    </xf>
    <xf numFmtId="0" fontId="0" fillId="0" borderId="0" xfId="0" applyAlignment="1" applyProtection="1">
      <protection hidden="1"/>
    </xf>
    <xf numFmtId="0" fontId="0" fillId="6" borderId="12" xfId="0" applyFill="1" applyBorder="1" applyAlignment="1" applyProtection="1">
      <alignment horizontal="center"/>
      <protection locked="0"/>
    </xf>
    <xf numFmtId="0" fontId="0" fillId="6" borderId="13" xfId="0" applyFill="1" applyBorder="1" applyAlignment="1" applyProtection="1">
      <alignment horizontal="center"/>
      <protection locked="0"/>
    </xf>
    <xf numFmtId="0" fontId="0" fillId="6" borderId="2" xfId="0" applyFill="1" applyBorder="1" applyAlignment="1" applyProtection="1">
      <alignment horizontal="center" vertical="center"/>
      <protection locked="0"/>
    </xf>
    <xf numFmtId="0" fontId="0" fillId="6" borderId="3" xfId="0" applyFill="1" applyBorder="1" applyAlignment="1" applyProtection="1">
      <alignment horizontal="center" vertical="center"/>
      <protection locked="0"/>
    </xf>
    <xf numFmtId="0" fontId="0" fillId="6" borderId="4" xfId="0" applyFill="1" applyBorder="1" applyAlignment="1" applyProtection="1">
      <alignment horizontal="center" vertical="center"/>
      <protection locked="0"/>
    </xf>
    <xf numFmtId="0" fontId="0" fillId="6" borderId="5" xfId="0" applyFill="1" applyBorder="1" applyAlignment="1" applyProtection="1">
      <alignment horizontal="center" vertical="center"/>
      <protection locked="0"/>
    </xf>
    <xf numFmtId="0" fontId="0" fillId="6" borderId="0" xfId="0" applyFill="1" applyAlignment="1" applyProtection="1">
      <alignment horizontal="center" vertical="center"/>
      <protection locked="0"/>
    </xf>
    <xf numFmtId="0" fontId="0" fillId="6" borderId="6" xfId="0" applyFill="1" applyBorder="1" applyAlignment="1" applyProtection="1">
      <alignment horizontal="center" vertical="center"/>
      <protection locked="0"/>
    </xf>
    <xf numFmtId="0" fontId="0" fillId="6" borderId="7" xfId="0" applyFill="1" applyBorder="1" applyAlignment="1" applyProtection="1">
      <alignment horizontal="center" vertical="center"/>
      <protection locked="0"/>
    </xf>
    <xf numFmtId="0" fontId="0" fillId="6" borderId="8" xfId="0" applyFill="1" applyBorder="1" applyAlignment="1" applyProtection="1">
      <alignment horizontal="center" vertical="center"/>
      <protection locked="0"/>
    </xf>
    <xf numFmtId="0" fontId="0" fillId="6" borderId="9" xfId="0" applyFill="1" applyBorder="1" applyAlignment="1" applyProtection="1">
      <alignment horizontal="center" vertical="center"/>
      <protection locked="0"/>
    </xf>
    <xf numFmtId="0" fontId="2" fillId="6" borderId="12" xfId="0" applyFont="1" applyFill="1" applyBorder="1" applyAlignment="1" applyProtection="1">
      <alignment horizontal="left" wrapText="1"/>
      <protection locked="0"/>
    </xf>
    <xf numFmtId="0" fontId="2" fillId="6" borderId="16" xfId="0" applyFont="1" applyFill="1" applyBorder="1" applyAlignment="1" applyProtection="1">
      <alignment horizontal="left" wrapText="1"/>
      <protection locked="0"/>
    </xf>
    <xf numFmtId="0" fontId="2" fillId="6" borderId="13" xfId="0" applyFont="1" applyFill="1" applyBorder="1" applyAlignment="1" applyProtection="1">
      <alignment horizontal="left" wrapText="1"/>
      <protection locked="0"/>
    </xf>
    <xf numFmtId="0" fontId="2" fillId="0" borderId="0" xfId="0" applyFont="1" applyFill="1" applyBorder="1" applyAlignment="1" applyProtection="1">
      <alignment vertical="center" wrapText="1"/>
      <protection hidden="1"/>
    </xf>
    <xf numFmtId="0" fontId="2" fillId="5" borderId="11" xfId="0" applyFont="1" applyFill="1" applyBorder="1" applyAlignment="1" applyProtection="1">
      <alignment vertical="center"/>
      <protection hidden="1"/>
    </xf>
    <xf numFmtId="0" fontId="2" fillId="0" borderId="0" xfId="0" applyFont="1" applyFill="1" applyBorder="1" applyAlignment="1" applyProtection="1">
      <alignment vertical="center"/>
      <protection hidden="1"/>
    </xf>
    <xf numFmtId="0" fontId="0" fillId="0" borderId="0" xfId="0" applyBorder="1" applyAlignment="1" applyProtection="1">
      <alignment vertical="center"/>
      <protection hidden="1"/>
    </xf>
    <xf numFmtId="0" fontId="0" fillId="5" borderId="2" xfId="0" applyFill="1" applyBorder="1" applyProtection="1">
      <protection hidden="1"/>
    </xf>
    <xf numFmtId="0" fontId="0" fillId="5" borderId="3" xfId="0" applyFill="1" applyBorder="1" applyProtection="1">
      <protection hidden="1"/>
    </xf>
    <xf numFmtId="0" fontId="0" fillId="5" borderId="4" xfId="0" applyFill="1" applyBorder="1" applyProtection="1">
      <protection hidden="1"/>
    </xf>
    <xf numFmtId="0" fontId="0" fillId="5" borderId="5" xfId="0" applyFill="1" applyBorder="1" applyProtection="1">
      <protection hidden="1"/>
    </xf>
    <xf numFmtId="0" fontId="0" fillId="5" borderId="0" xfId="0" applyFill="1" applyProtection="1">
      <protection hidden="1"/>
    </xf>
    <xf numFmtId="0" fontId="0" fillId="5" borderId="6" xfId="0" applyFill="1" applyBorder="1" applyProtection="1">
      <protection hidden="1"/>
    </xf>
    <xf numFmtId="0" fontId="0" fillId="5" borderId="7" xfId="0" applyFill="1" applyBorder="1" applyProtection="1">
      <protection hidden="1"/>
    </xf>
    <xf numFmtId="0" fontId="0" fillId="5" borderId="8" xfId="0" applyFill="1" applyBorder="1" applyProtection="1">
      <protection hidden="1"/>
    </xf>
    <xf numFmtId="0" fontId="0" fillId="5" borderId="9" xfId="0" applyFill="1" applyBorder="1" applyProtection="1">
      <protection hidden="1"/>
    </xf>
  </cellXfs>
  <cellStyles count="1">
    <cellStyle name="Normal" xfId="0" builtinId="0"/>
  </cellStyles>
  <dxfs count="12">
    <dxf>
      <fill>
        <patternFill>
          <bgColor theme="0"/>
        </patternFill>
      </fill>
    </dxf>
    <dxf>
      <font>
        <color theme="0"/>
      </font>
      <fill>
        <patternFill>
          <bgColor theme="1"/>
        </patternFill>
      </fill>
    </dxf>
    <dxf>
      <fill>
        <patternFill>
          <bgColor rgb="FFFFAFAF"/>
        </patternFill>
      </fill>
    </dxf>
    <dxf>
      <fill>
        <patternFill>
          <bgColor theme="0"/>
        </patternFill>
      </fill>
    </dxf>
    <dxf>
      <font>
        <color theme="0"/>
      </font>
      <fill>
        <patternFill>
          <bgColor theme="1"/>
        </patternFill>
      </fill>
    </dxf>
    <dxf>
      <fill>
        <patternFill>
          <bgColor rgb="FFFFAFAF"/>
        </patternFill>
      </fill>
    </dxf>
    <dxf>
      <fill>
        <patternFill>
          <bgColor theme="0"/>
        </patternFill>
      </fill>
    </dxf>
    <dxf>
      <font>
        <color theme="0"/>
      </font>
      <fill>
        <patternFill>
          <bgColor theme="1"/>
        </patternFill>
      </fill>
    </dxf>
    <dxf>
      <fill>
        <patternFill>
          <bgColor rgb="FFFFAFAF"/>
        </patternFill>
      </fill>
    </dxf>
    <dxf>
      <fill>
        <patternFill>
          <bgColor theme="0"/>
        </patternFill>
      </fill>
    </dxf>
    <dxf>
      <fill>
        <patternFill>
          <bgColor theme="1"/>
        </patternFill>
      </fill>
    </dxf>
    <dxf>
      <fill>
        <patternFill>
          <bgColor rgb="FFFFAFAF"/>
        </patternFill>
      </fill>
    </dxf>
  </dxfs>
  <tableStyles count="0" defaultTableStyle="TableStyleMedium2" defaultPivotStyle="PivotStyleLight16"/>
  <colors>
    <mruColors>
      <color rgb="FFFFAFA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AGI%20Stuff/AGI-Power-Pack/Powerpack_Mods.xlsx" TargetMode="External"/><Relationship Id="rId2" Type="http://schemas.openxmlformats.org/officeDocument/2006/relationships/externalLinkPath" Target="https://d.docs.live.net/f40371ee97c7142a/AGI%20Stuff/AGI-Power-Pack/Powerpack_Mods.xlsx" TargetMode="External"/><Relationship Id="rId1" Type="http://schemas.openxmlformats.org/officeDocument/2006/relationships/externalLinkPath" Target="/f40371ee97c7142a/AGI%20Stuff/AGI-Power-Pack/Powerpack_Mod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versioncheck"/>
      <sheetName val="memCopy"/>
      <sheetName val="controller"/>
      <sheetName val="gameid"/>
      <sheetName val="extchar"/>
      <sheetName val="clearcolor"/>
      <sheetName val="colors"/>
      <sheetName val="settextattr"/>
      <sheetName val="msgbox"/>
      <sheetName val="4080col"/>
      <sheetName val="autocycle"/>
      <sheetName val="getnum"/>
      <sheetName val="inputcomp"/>
      <sheetName val="mouse"/>
      <sheetName val="inputfilter"/>
      <sheetName val="inventory"/>
      <sheetName val="statusline"/>
      <sheetName val="clickmove"/>
      <sheetName val="wander"/>
      <sheetName val="sound"/>
      <sheetName val="save"/>
      <sheetName val="cursor"/>
      <sheetName val="turbo"/>
      <sheetName val="trace"/>
      <sheetName val="getinput"/>
      <sheetName val="strings"/>
      <sheetName val="palette"/>
      <sheetName val="setmessage"/>
      <sheetName val="setitem"/>
      <sheetName val="itemcount"/>
      <sheetName val="picdraw"/>
      <sheetName val="getpixel"/>
      <sheetName val="bitmath"/>
      <sheetName val="datetime"/>
      <sheetName val="fileops"/>
      <sheetName val="shiftkeystate"/>
      <sheetName val="wordfix"/>
      <sheetName val="onobj"/>
      <sheetName val="muldiv"/>
      <sheetName val="msgref"/>
      <sheetName val="hideobjs"/>
      <sheetName val="pauseclock"/>
      <sheetName val="variablesound"/>
      <sheetName val="blockfunctions"/>
      <sheetName val="movemsg"/>
      <sheetName val="Memory Usage"/>
      <sheetName val="code generator"/>
      <sheetName val="vflipcel"/>
      <sheetName val="comparison check"/>
      <sheetName val="fileops encrypted"/>
      <sheetName val="fm sound instruments"/>
      <sheetName val="traceargprefix"/>
      <sheetName val="path calculation"/>
      <sheetName val="palette info"/>
      <sheetName val="cursors"/>
      <sheetName val="codepages"/>
      <sheetName val="int10h modes"/>
      <sheetName val="2917 function map"/>
      <sheetName val="mouse  with masking"/>
      <sheetName val="objectcheck"/>
    </sheetNames>
    <sheetDataSet>
      <sheetData sheetId="0"/>
      <sheetData sheetId="1"/>
      <sheetData sheetId="2"/>
      <sheetData sheetId="3"/>
      <sheetData sheetId="4"/>
      <sheetData sheetId="5"/>
      <sheetData sheetId="6"/>
      <sheetData sheetId="7"/>
      <sheetData sheetId="8"/>
      <sheetData sheetId="9">
        <row r="3">
          <cell r="I3">
            <v>12</v>
          </cell>
        </row>
        <row r="502">
          <cell r="B502">
            <v>0</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ow r="2">
          <cell r="B2" t="str">
            <v>_x000D_</v>
          </cell>
        </row>
      </sheetData>
      <sheetData sheetId="47"/>
      <sheetData sheetId="48"/>
      <sheetData sheetId="49"/>
      <sheetData sheetId="50"/>
      <sheetData sheetId="51"/>
      <sheetData sheetId="52">
        <row r="12">
          <cell r="B12">
            <v>51</v>
          </cell>
        </row>
        <row r="13">
          <cell r="B13">
            <v>143</v>
          </cell>
        </row>
        <row r="14">
          <cell r="B14">
            <v>93</v>
          </cell>
        </row>
        <row r="15">
          <cell r="B15">
            <v>138</v>
          </cell>
        </row>
        <row r="16">
          <cell r="B16">
            <v>1</v>
          </cell>
        </row>
        <row r="17">
          <cell r="B17">
            <v>-1</v>
          </cell>
        </row>
        <row r="18">
          <cell r="B18">
            <v>42</v>
          </cell>
        </row>
        <row r="19">
          <cell r="B19">
            <v>-5</v>
          </cell>
        </row>
        <row r="20">
          <cell r="B20">
            <v>-0.11904761904761904</v>
          </cell>
        </row>
        <row r="21">
          <cell r="B21">
            <v>149.07142857142858</v>
          </cell>
        </row>
        <row r="22">
          <cell r="B22">
            <v>1</v>
          </cell>
        </row>
        <row r="29">
          <cell r="Q29">
            <v>-42</v>
          </cell>
        </row>
        <row r="30">
          <cell r="Q30">
            <v>74</v>
          </cell>
        </row>
        <row r="31">
          <cell r="Q31">
            <v>84</v>
          </cell>
        </row>
        <row r="190">
          <cell r="Q190">
            <v>-5</v>
          </cell>
        </row>
        <row r="191">
          <cell r="Q191">
            <v>-74</v>
          </cell>
        </row>
        <row r="192">
          <cell r="Q192">
            <v>10</v>
          </cell>
        </row>
        <row r="398">
          <cell r="B398">
            <v>20</v>
          </cell>
        </row>
        <row r="399">
          <cell r="B399">
            <v>5</v>
          </cell>
        </row>
      </sheetData>
      <sheetData sheetId="53">
        <row r="2">
          <cell r="I2">
            <v>63</v>
          </cell>
        </row>
      </sheetData>
      <sheetData sheetId="54"/>
      <sheetData sheetId="55"/>
      <sheetData sheetId="56"/>
      <sheetData sheetId="57"/>
      <sheetData sheetId="58"/>
      <sheetData sheetId="5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302A6-516B-4AAE-B67B-988838C0E9BB}">
  <dimension ref="A1:CD60"/>
  <sheetViews>
    <sheetView showGridLines="0" tabSelected="1" zoomScaleNormal="100" workbookViewId="0">
      <selection activeCell="A3" sqref="A3:AL3"/>
    </sheetView>
  </sheetViews>
  <sheetFormatPr defaultColWidth="9" defaultRowHeight="12.5" x14ac:dyDescent="0.25"/>
  <cols>
    <col min="1" max="19" width="2.36328125" style="57" customWidth="1"/>
    <col min="20" max="39" width="2.36328125" style="1" customWidth="1"/>
    <col min="40" max="55" width="2.36328125" style="38" hidden="1" customWidth="1"/>
    <col min="56" max="56" width="7.81640625" style="38" hidden="1" customWidth="1"/>
    <col min="57" max="57" width="2.36328125" style="1" customWidth="1"/>
    <col min="58" max="73" width="1.1796875" style="1" customWidth="1"/>
    <col min="74" max="118" width="2.36328125" style="1" customWidth="1"/>
    <col min="119" max="16384" width="9" style="1"/>
  </cols>
  <sheetData>
    <row r="1" spans="1:56" ht="25" x14ac:dyDescent="0.5">
      <c r="A1" s="55" t="s">
        <v>18</v>
      </c>
      <c r="B1" s="55"/>
      <c r="C1" s="55"/>
      <c r="D1" s="55"/>
      <c r="E1" s="55"/>
      <c r="F1" s="55"/>
      <c r="G1" s="55"/>
      <c r="H1" s="55"/>
      <c r="I1" s="55"/>
      <c r="J1" s="55"/>
      <c r="K1" s="55"/>
      <c r="L1" s="55"/>
      <c r="M1" s="55"/>
      <c r="N1" s="55"/>
      <c r="O1" s="55"/>
      <c r="P1" s="55"/>
      <c r="Q1" s="55"/>
      <c r="R1" s="55"/>
      <c r="S1" s="55"/>
      <c r="T1" s="55"/>
      <c r="U1" s="55"/>
      <c r="V1" s="55"/>
      <c r="W1" s="55"/>
      <c r="X1" s="55"/>
      <c r="Y1" s="55"/>
      <c r="Z1" s="55"/>
      <c r="AA1" s="55"/>
      <c r="AB1" s="55"/>
      <c r="AC1" s="55"/>
      <c r="AD1" s="55"/>
      <c r="AE1" s="55"/>
      <c r="AF1" s="55"/>
      <c r="AG1" s="55"/>
      <c r="AH1" s="55"/>
      <c r="AI1" s="55"/>
      <c r="AJ1" s="55"/>
      <c r="AK1" s="55"/>
      <c r="AL1" s="55"/>
    </row>
    <row r="2" spans="1:56" x14ac:dyDescent="0.25">
      <c r="A2" s="1"/>
      <c r="B2" s="1"/>
      <c r="C2" s="1"/>
      <c r="D2" s="1"/>
      <c r="E2" s="1"/>
      <c r="F2" s="1"/>
      <c r="G2" s="1"/>
      <c r="H2" s="1"/>
      <c r="I2" s="1"/>
      <c r="J2" s="1"/>
      <c r="K2" s="1"/>
      <c r="L2" s="1"/>
      <c r="M2" s="1"/>
      <c r="N2" s="1"/>
      <c r="O2" s="1"/>
      <c r="P2" s="1"/>
      <c r="Q2" s="1"/>
      <c r="R2" s="1"/>
      <c r="S2" s="1"/>
    </row>
    <row r="3" spans="1:56" ht="40" customHeight="1" x14ac:dyDescent="0.25">
      <c r="A3" s="2" t="s">
        <v>20</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row>
    <row r="4" spans="1:56" s="4" customFormat="1" x14ac:dyDescent="0.2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N4" s="60"/>
      <c r="AO4" s="60"/>
      <c r="AP4" s="60"/>
      <c r="AQ4" s="60"/>
      <c r="AR4" s="60"/>
      <c r="AS4" s="60"/>
      <c r="AT4" s="60"/>
      <c r="AU4" s="60"/>
      <c r="AV4" s="60"/>
      <c r="AW4" s="60"/>
      <c r="AX4" s="60"/>
      <c r="AY4" s="60"/>
      <c r="AZ4" s="60"/>
      <c r="BA4" s="60"/>
      <c r="BB4" s="60"/>
      <c r="BC4" s="60"/>
      <c r="BD4" s="60"/>
    </row>
    <row r="5" spans="1:56" x14ac:dyDescent="0.25">
      <c r="A5" s="8"/>
      <c r="B5" s="1"/>
      <c r="C5" s="1"/>
      <c r="D5" s="1"/>
      <c r="E5" s="1"/>
      <c r="F5" s="1"/>
      <c r="G5" s="1"/>
      <c r="H5" s="1"/>
      <c r="I5" s="1"/>
      <c r="J5" s="1"/>
      <c r="K5" s="1"/>
      <c r="L5" s="1"/>
      <c r="M5" s="1"/>
      <c r="N5" s="1"/>
      <c r="O5" s="1"/>
      <c r="P5" s="1"/>
      <c r="Q5" s="1"/>
      <c r="R5" s="1"/>
      <c r="S5" s="1"/>
    </row>
    <row r="6" spans="1:56" s="4" customFormat="1" ht="13" thickBot="1" x14ac:dyDescent="0.3">
      <c r="A6" s="6" t="s">
        <v>13</v>
      </c>
      <c r="AN6" s="60"/>
      <c r="AO6" s="60"/>
      <c r="AP6" s="60"/>
      <c r="AQ6" s="60"/>
      <c r="AR6" s="60"/>
      <c r="AS6" s="60"/>
      <c r="AT6" s="60"/>
      <c r="AU6" s="60"/>
      <c r="AV6" s="60"/>
      <c r="AW6" s="60"/>
      <c r="AX6" s="60"/>
      <c r="AY6" s="60"/>
      <c r="AZ6" s="60"/>
      <c r="BA6" s="60"/>
      <c r="BB6" s="60"/>
      <c r="BC6" s="60"/>
      <c r="BD6" s="60"/>
    </row>
    <row r="7" spans="1:56" x14ac:dyDescent="0.25">
      <c r="A7" s="42"/>
      <c r="B7" s="43"/>
      <c r="C7" s="43"/>
      <c r="D7" s="43"/>
      <c r="E7" s="43"/>
      <c r="F7" s="43"/>
      <c r="G7" s="43"/>
      <c r="H7" s="43"/>
      <c r="I7" s="43"/>
      <c r="J7" s="43"/>
      <c r="K7" s="43"/>
      <c r="L7" s="43"/>
      <c r="M7" s="43"/>
      <c r="N7" s="43"/>
      <c r="O7" s="43"/>
      <c r="P7" s="43"/>
      <c r="Q7" s="43"/>
      <c r="R7" s="43"/>
      <c r="S7" s="44"/>
    </row>
    <row r="8" spans="1:56" x14ac:dyDescent="0.25">
      <c r="A8" s="45"/>
      <c r="B8" s="4"/>
      <c r="C8" s="4"/>
      <c r="D8" s="10" t="s">
        <v>0</v>
      </c>
      <c r="E8" s="10"/>
      <c r="F8" s="10"/>
      <c r="G8" s="10"/>
      <c r="H8" s="10" t="s">
        <v>1</v>
      </c>
      <c r="I8" s="10"/>
      <c r="J8" s="10"/>
      <c r="K8" s="10"/>
      <c r="L8" s="54"/>
      <c r="M8" s="4"/>
      <c r="N8" s="4"/>
      <c r="O8" s="4"/>
      <c r="P8" s="46" t="s">
        <v>14</v>
      </c>
      <c r="Q8" s="4"/>
      <c r="R8" s="4"/>
      <c r="S8" s="47"/>
    </row>
    <row r="9" spans="1:56" x14ac:dyDescent="0.25">
      <c r="A9" s="45" t="s">
        <v>2</v>
      </c>
      <c r="B9" s="4"/>
      <c r="C9" s="4"/>
      <c r="D9" s="10">
        <v>0</v>
      </c>
      <c r="E9" s="10"/>
      <c r="F9" s="10"/>
      <c r="G9" s="10"/>
      <c r="H9" s="10">
        <v>0</v>
      </c>
      <c r="I9" s="10"/>
      <c r="J9" s="10"/>
      <c r="K9" s="10"/>
      <c r="L9" s="56"/>
      <c r="M9" s="4"/>
      <c r="N9" s="4"/>
      <c r="O9" s="4"/>
      <c r="P9" s="11"/>
      <c r="Q9" s="4"/>
      <c r="R9" s="4"/>
      <c r="S9" s="47"/>
    </row>
    <row r="10" spans="1:56" x14ac:dyDescent="0.25">
      <c r="A10" s="45" t="s">
        <v>3</v>
      </c>
      <c r="B10" s="4"/>
      <c r="C10" s="4"/>
      <c r="D10" s="10">
        <v>0</v>
      </c>
      <c r="E10" s="10"/>
      <c r="F10" s="10"/>
      <c r="G10" s="10"/>
      <c r="H10" s="10">
        <v>1</v>
      </c>
      <c r="I10" s="10"/>
      <c r="J10" s="10"/>
      <c r="K10" s="10"/>
      <c r="L10" s="56"/>
      <c r="M10" s="4"/>
      <c r="N10" s="4"/>
      <c r="O10" s="4"/>
      <c r="P10" s="12"/>
      <c r="Q10" s="4"/>
      <c r="R10" s="4"/>
      <c r="S10" s="47"/>
    </row>
    <row r="11" spans="1:56" x14ac:dyDescent="0.25">
      <c r="A11" s="45" t="s">
        <v>4</v>
      </c>
      <c r="B11" s="4"/>
      <c r="C11" s="4"/>
      <c r="D11" s="10">
        <v>1</v>
      </c>
      <c r="E11" s="10"/>
      <c r="F11" s="10"/>
      <c r="G11" s="10"/>
      <c r="H11" s="10">
        <v>0</v>
      </c>
      <c r="I11" s="10"/>
      <c r="J11" s="10"/>
      <c r="K11" s="10"/>
      <c r="L11" s="56"/>
      <c r="M11" s="4"/>
      <c r="N11" s="4"/>
      <c r="O11" s="4"/>
      <c r="P11" s="13"/>
      <c r="Q11" s="4"/>
      <c r="R11" s="4"/>
      <c r="S11" s="47"/>
    </row>
    <row r="12" spans="1:56" x14ac:dyDescent="0.25">
      <c r="A12" s="45" t="s">
        <v>5</v>
      </c>
      <c r="B12" s="4"/>
      <c r="C12" s="4"/>
      <c r="D12" s="10">
        <v>1</v>
      </c>
      <c r="E12" s="10"/>
      <c r="F12" s="10"/>
      <c r="G12" s="10"/>
      <c r="H12" s="10">
        <v>1</v>
      </c>
      <c r="I12" s="10"/>
      <c r="J12" s="10"/>
      <c r="K12" s="10"/>
      <c r="L12" s="56"/>
      <c r="M12" s="4"/>
      <c r="N12" s="4"/>
      <c r="O12" s="4"/>
      <c r="P12" s="14"/>
      <c r="Q12" s="4"/>
      <c r="R12" s="4"/>
      <c r="S12" s="47"/>
    </row>
    <row r="13" spans="1:56" ht="13" thickBot="1" x14ac:dyDescent="0.3">
      <c r="A13" s="48"/>
      <c r="B13" s="49"/>
      <c r="C13" s="49"/>
      <c r="D13" s="49"/>
      <c r="E13" s="49"/>
      <c r="F13" s="49"/>
      <c r="G13" s="49"/>
      <c r="H13" s="49"/>
      <c r="I13" s="49"/>
      <c r="J13" s="49"/>
      <c r="K13" s="49"/>
      <c r="L13" s="49"/>
      <c r="M13" s="49"/>
      <c r="N13" s="49"/>
      <c r="O13" s="49"/>
      <c r="P13" s="49"/>
      <c r="Q13" s="49"/>
      <c r="R13" s="49"/>
      <c r="S13" s="50"/>
    </row>
    <row r="14" spans="1:56" x14ac:dyDescent="0.25">
      <c r="A14" s="1"/>
      <c r="B14" s="1"/>
      <c r="C14" s="1"/>
      <c r="D14" s="1"/>
      <c r="E14" s="1"/>
      <c r="F14" s="1"/>
      <c r="G14" s="1"/>
      <c r="H14" s="1"/>
      <c r="I14" s="1"/>
      <c r="J14" s="1"/>
      <c r="K14" s="1"/>
      <c r="L14" s="1"/>
      <c r="M14" s="1"/>
      <c r="N14" s="1"/>
      <c r="O14" s="1"/>
      <c r="P14" s="1"/>
      <c r="Q14" s="1"/>
      <c r="R14" s="1"/>
      <c r="S14" s="1"/>
    </row>
    <row r="15" spans="1:56" x14ac:dyDescent="0.25">
      <c r="A15" s="1"/>
      <c r="B15" s="1"/>
      <c r="C15" s="1"/>
      <c r="D15" s="1"/>
      <c r="E15" s="1"/>
      <c r="F15" s="1"/>
      <c r="G15" s="1"/>
      <c r="H15" s="1"/>
      <c r="I15" s="1"/>
      <c r="J15" s="1"/>
      <c r="K15" s="1"/>
      <c r="L15" s="1"/>
      <c r="M15" s="1"/>
      <c r="N15" s="1"/>
      <c r="O15" s="1"/>
      <c r="P15" s="1"/>
      <c r="Q15" s="1"/>
      <c r="R15" s="1"/>
      <c r="S15" s="1"/>
    </row>
    <row r="16" spans="1:56" s="4" customFormat="1" ht="13" thickBot="1" x14ac:dyDescent="0.3">
      <c r="A16" s="6" t="s">
        <v>7</v>
      </c>
      <c r="AN16" s="60"/>
      <c r="AO16" s="60"/>
      <c r="AP16" s="60"/>
      <c r="AQ16" s="60"/>
      <c r="AR16" s="60"/>
      <c r="AS16" s="60"/>
      <c r="AT16" s="60"/>
      <c r="AU16" s="60"/>
      <c r="AV16" s="60"/>
      <c r="AW16" s="60"/>
      <c r="AX16" s="60"/>
      <c r="AY16" s="60"/>
      <c r="AZ16" s="60"/>
      <c r="BA16" s="60"/>
      <c r="BB16" s="60"/>
      <c r="BC16" s="60"/>
      <c r="BD16" s="60"/>
    </row>
    <row r="17" spans="1:82" s="83" customFormat="1" ht="23.5" customHeight="1" thickBot="1" x14ac:dyDescent="0.3">
      <c r="A17" s="81" t="str">
        <f>DEC2HEX(B21,2) &amp; DEC2HEX(B22,2) &amp; _xlfn.TEXTJOIN("", TRUE, BD25:BD40) &amp; _xlfn.TEXTJOIN("", TRUE, BD44:BD59)</f>
        <v>07077FFE3FFC3FFC3FFC3FFC3FFC01808001800101803FFC3FFC3FFC3FFC3FFC7FFE00008001800180018001800180017E7E7E7E8001800180018001800180010000</v>
      </c>
      <c r="B17" s="82" t="str">
        <f>A17</f>
        <v>07077FFE3FFC3FFC3FFC3FFC3FFC01808001800101803FFC3FFC3FFC3FFC3FFC7FFE00008001800180018001800180017E7E7E7E8001800180018001800180010000</v>
      </c>
      <c r="C17" s="82"/>
      <c r="D17" s="82"/>
      <c r="E17" s="82"/>
      <c r="F17" s="82"/>
      <c r="G17" s="82"/>
      <c r="H17" s="82"/>
      <c r="I17" s="82"/>
      <c r="J17" s="82"/>
      <c r="K17" s="82"/>
      <c r="L17" s="82"/>
      <c r="M17" s="82"/>
      <c r="N17" s="82"/>
      <c r="O17" s="82"/>
      <c r="P17" s="82"/>
      <c r="Q17" s="82"/>
      <c r="R17" s="82"/>
      <c r="S17" s="82"/>
      <c r="T17" s="82"/>
      <c r="U17" s="82"/>
      <c r="V17" s="82"/>
      <c r="W17" s="82"/>
      <c r="X17" s="82"/>
      <c r="Y17" s="82"/>
      <c r="Z17" s="82"/>
      <c r="AA17" s="82"/>
      <c r="AB17" s="82"/>
      <c r="AC17" s="82"/>
      <c r="AD17" s="82"/>
      <c r="AE17" s="82"/>
      <c r="AF17" s="82"/>
      <c r="AG17" s="82"/>
      <c r="AH17" s="82"/>
      <c r="AI17" s="82"/>
      <c r="AJ17" s="82"/>
      <c r="AK17" s="82"/>
      <c r="AL17" s="82"/>
      <c r="AM17" s="82"/>
      <c r="AN17" s="82"/>
      <c r="AO17" s="82"/>
      <c r="AP17" s="82"/>
      <c r="AQ17" s="82"/>
      <c r="AR17" s="82"/>
      <c r="AS17" s="82"/>
      <c r="AT17" s="82"/>
      <c r="AU17" s="82"/>
      <c r="AV17" s="82"/>
      <c r="AW17" s="82"/>
      <c r="AX17" s="82"/>
      <c r="AY17" s="82"/>
      <c r="AZ17" s="82"/>
      <c r="BA17" s="82"/>
      <c r="BB17" s="82"/>
      <c r="BC17" s="82"/>
      <c r="BD17" s="82"/>
      <c r="BE17" s="82"/>
      <c r="BF17" s="82"/>
      <c r="BG17" s="82"/>
      <c r="BH17" s="82"/>
      <c r="BI17" s="82"/>
      <c r="BJ17" s="82"/>
      <c r="BK17" s="82"/>
      <c r="BL17" s="82"/>
      <c r="BM17" s="82"/>
      <c r="BN17" s="82"/>
      <c r="BO17" s="82"/>
      <c r="BP17" s="82"/>
      <c r="BQ17" s="82"/>
      <c r="BR17" s="82"/>
      <c r="BS17" s="82"/>
      <c r="BT17" s="82"/>
      <c r="BU17" s="82"/>
      <c r="BV17" s="82"/>
      <c r="BW17" s="82"/>
      <c r="BX17" s="82"/>
      <c r="BY17" s="82"/>
      <c r="BZ17" s="82"/>
      <c r="CA17" s="82"/>
      <c r="CB17" s="82"/>
      <c r="CC17" s="82"/>
      <c r="CD17" s="82"/>
    </row>
    <row r="18" spans="1:82" ht="13" customHeight="1" x14ac:dyDescent="0.3">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row>
    <row r="19" spans="1:82" ht="13" customHeight="1" x14ac:dyDescent="0.3">
      <c r="A19" s="26"/>
      <c r="B19" s="26"/>
      <c r="C19" s="26"/>
      <c r="D19" s="26"/>
      <c r="E19" s="26"/>
      <c r="F19" s="26"/>
      <c r="G19" s="26"/>
      <c r="H19" s="26"/>
      <c r="I19" s="80"/>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row>
    <row r="20" spans="1:82" ht="13" customHeight="1" thickBot="1" x14ac:dyDescent="0.35">
      <c r="A20" s="15" t="s">
        <v>6</v>
      </c>
      <c r="B20" s="1"/>
      <c r="C20" s="1"/>
      <c r="D20" s="1"/>
      <c r="E20" s="1"/>
      <c r="F20" s="1"/>
      <c r="G20" s="1"/>
      <c r="H20" s="1"/>
      <c r="I20" s="1"/>
      <c r="J20" s="1"/>
      <c r="K20" s="1"/>
      <c r="L20" s="1"/>
      <c r="M20" s="1"/>
      <c r="N20" s="1"/>
      <c r="O20" s="1"/>
      <c r="P20" s="1"/>
      <c r="Q20" s="1"/>
      <c r="R20" s="1"/>
      <c r="S20" s="1"/>
    </row>
    <row r="21" spans="1:82" ht="13" customHeight="1" thickBot="1" x14ac:dyDescent="0.35">
      <c r="A21" s="15" t="s">
        <v>8</v>
      </c>
      <c r="B21" s="66">
        <v>7</v>
      </c>
      <c r="C21" s="67"/>
      <c r="D21" s="1"/>
      <c r="E21" s="1"/>
      <c r="F21" s="1"/>
      <c r="G21" s="1"/>
      <c r="H21" s="1"/>
      <c r="I21" s="1"/>
      <c r="J21" s="9" t="b">
        <f>A17=cursorstring</f>
        <v>0</v>
      </c>
      <c r="K21" s="9"/>
      <c r="L21" s="9"/>
      <c r="M21" s="9"/>
      <c r="N21" s="9"/>
      <c r="O21" s="9"/>
      <c r="P21" s="1"/>
      <c r="Q21" s="1"/>
      <c r="R21" s="1"/>
      <c r="S21" s="1"/>
    </row>
    <row r="22" spans="1:82" ht="13" customHeight="1" thickBot="1" x14ac:dyDescent="0.35">
      <c r="A22" s="15" t="s">
        <v>9</v>
      </c>
      <c r="B22" s="66">
        <v>7</v>
      </c>
      <c r="C22" s="67"/>
      <c r="D22" s="1"/>
      <c r="E22" s="1"/>
      <c r="F22" s="1"/>
      <c r="G22" s="1"/>
      <c r="H22" s="1"/>
      <c r="I22" s="1"/>
      <c r="J22" s="1"/>
      <c r="K22" s="1"/>
      <c r="L22" s="1"/>
      <c r="M22" s="1"/>
      <c r="N22" s="1"/>
      <c r="O22" s="1"/>
      <c r="P22" s="1"/>
      <c r="Q22" s="1"/>
      <c r="R22" s="1"/>
      <c r="S22" s="1"/>
    </row>
    <row r="23" spans="1:82" ht="13" customHeight="1" x14ac:dyDescent="0.25">
      <c r="U23" s="41" t="s">
        <v>15</v>
      </c>
      <c r="V23" s="9"/>
      <c r="W23" s="9"/>
      <c r="X23" s="9"/>
      <c r="Y23" s="9"/>
      <c r="Z23" s="9"/>
      <c r="AA23" s="9"/>
      <c r="AB23" s="9"/>
      <c r="AC23" s="9"/>
      <c r="AD23" s="9"/>
      <c r="AE23" s="9"/>
      <c r="AF23" s="9"/>
      <c r="AG23" s="9"/>
      <c r="AH23" s="9"/>
      <c r="AI23" s="9"/>
      <c r="AJ23" s="9"/>
      <c r="AN23" s="61"/>
      <c r="AO23" s="61"/>
      <c r="AP23" s="61"/>
      <c r="AQ23" s="61"/>
      <c r="AR23" s="61"/>
      <c r="AS23" s="61"/>
      <c r="AT23" s="61"/>
      <c r="AU23" s="61"/>
      <c r="AV23" s="61"/>
      <c r="AW23" s="61"/>
      <c r="AX23" s="61"/>
      <c r="AY23" s="61"/>
      <c r="AZ23" s="61"/>
      <c r="BA23" s="61"/>
      <c r="BB23" s="61"/>
      <c r="BF23" s="41" t="s">
        <v>16</v>
      </c>
      <c r="BG23" s="9"/>
      <c r="BH23" s="9"/>
      <c r="BI23" s="9"/>
      <c r="BJ23" s="9"/>
      <c r="BK23" s="9"/>
      <c r="BL23" s="9"/>
      <c r="BM23" s="9"/>
      <c r="BN23" s="9"/>
      <c r="BO23" s="9"/>
      <c r="BP23" s="9"/>
      <c r="BQ23" s="9"/>
      <c r="BR23" s="9"/>
      <c r="BS23" s="9"/>
      <c r="BT23" s="9"/>
      <c r="BU23" s="9"/>
    </row>
    <row r="24" spans="1:82" ht="13" customHeight="1" x14ac:dyDescent="0.25">
      <c r="A24" s="58"/>
      <c r="B24" s="63" t="s">
        <v>0</v>
      </c>
      <c r="C24" s="58"/>
      <c r="D24" s="58"/>
      <c r="E24" s="58"/>
      <c r="F24" s="58"/>
      <c r="G24" s="58"/>
      <c r="H24" s="58"/>
      <c r="I24" s="58"/>
      <c r="J24" s="58"/>
      <c r="K24" s="58"/>
      <c r="L24" s="58"/>
      <c r="M24" s="58"/>
      <c r="N24" s="58"/>
      <c r="O24" s="58"/>
      <c r="P24" s="58"/>
      <c r="Q24" s="58"/>
      <c r="R24" s="58"/>
      <c r="T24" s="38"/>
      <c r="U24" s="38"/>
      <c r="V24" s="38"/>
      <c r="W24" s="38"/>
      <c r="X24" s="38"/>
      <c r="Y24" s="38"/>
      <c r="Z24" s="38"/>
      <c r="AA24" s="38"/>
      <c r="AB24" s="38"/>
      <c r="AC24" s="38"/>
      <c r="AD24" s="38"/>
      <c r="AE24" s="38"/>
      <c r="AF24" s="38"/>
      <c r="AG24" s="38"/>
      <c r="AH24" s="38"/>
      <c r="AI24" s="38"/>
      <c r="AJ24" s="38"/>
      <c r="AK24" s="38"/>
      <c r="AN24" s="38">
        <v>7</v>
      </c>
      <c r="AO24" s="38">
        <v>6</v>
      </c>
      <c r="AP24" s="38">
        <v>5</v>
      </c>
      <c r="AQ24" s="38">
        <v>4</v>
      </c>
      <c r="AR24" s="38">
        <v>3</v>
      </c>
      <c r="AS24" s="38">
        <v>2</v>
      </c>
      <c r="AT24" s="38">
        <v>1</v>
      </c>
      <c r="AU24" s="38">
        <v>0</v>
      </c>
      <c r="AV24" s="38">
        <v>7</v>
      </c>
      <c r="AW24" s="38">
        <v>6</v>
      </c>
      <c r="AX24" s="38">
        <v>5</v>
      </c>
      <c r="AY24" s="38">
        <v>4</v>
      </c>
      <c r="AZ24" s="38">
        <v>3</v>
      </c>
      <c r="BA24" s="38">
        <v>2</v>
      </c>
      <c r="BB24" s="38">
        <v>1</v>
      </c>
      <c r="BC24" s="38">
        <v>0</v>
      </c>
    </row>
    <row r="25" spans="1:82" ht="13" customHeight="1" x14ac:dyDescent="0.25">
      <c r="A25" s="58"/>
      <c r="B25" s="68">
        <v>1</v>
      </c>
      <c r="C25" s="69">
        <v>1</v>
      </c>
      <c r="D25" s="69">
        <v>1</v>
      </c>
      <c r="E25" s="69">
        <v>1</v>
      </c>
      <c r="F25" s="69">
        <v>1</v>
      </c>
      <c r="G25" s="69">
        <v>1</v>
      </c>
      <c r="H25" s="69">
        <v>1</v>
      </c>
      <c r="I25" s="69"/>
      <c r="J25" s="69"/>
      <c r="K25" s="69">
        <v>1</v>
      </c>
      <c r="L25" s="69">
        <v>1</v>
      </c>
      <c r="M25" s="69">
        <v>1</v>
      </c>
      <c r="N25" s="69">
        <v>1</v>
      </c>
      <c r="O25" s="69">
        <v>1</v>
      </c>
      <c r="P25" s="69">
        <v>1</v>
      </c>
      <c r="Q25" s="70">
        <v>1</v>
      </c>
      <c r="R25" s="58"/>
      <c r="T25" s="38"/>
      <c r="U25" s="59" t="str">
        <f>IF(AND($B$21 = (COLUMN(U25) - COLUMN($U$25)),$B$22 = (ROW(U25) - ROW($U$25))), "X", "")</f>
        <v/>
      </c>
      <c r="V25" s="17" t="str">
        <f t="shared" ref="V25:AJ40" si="0">IF(AND($B$21 = (COLUMN(V25) - COLUMN($U$25)),$B$22 = (ROW(V25) - ROW($U$25))), "X", "")</f>
        <v/>
      </c>
      <c r="W25" s="17" t="str">
        <f t="shared" si="0"/>
        <v/>
      </c>
      <c r="X25" s="17" t="str">
        <f t="shared" si="0"/>
        <v/>
      </c>
      <c r="Y25" s="17" t="str">
        <f t="shared" si="0"/>
        <v/>
      </c>
      <c r="Z25" s="17" t="str">
        <f t="shared" si="0"/>
        <v/>
      </c>
      <c r="AA25" s="17" t="str">
        <f t="shared" si="0"/>
        <v/>
      </c>
      <c r="AB25" s="17" t="str">
        <f t="shared" si="0"/>
        <v/>
      </c>
      <c r="AC25" s="17" t="str">
        <f t="shared" si="0"/>
        <v/>
      </c>
      <c r="AD25" s="17" t="str">
        <f t="shared" si="0"/>
        <v/>
      </c>
      <c r="AE25" s="17" t="str">
        <f t="shared" si="0"/>
        <v/>
      </c>
      <c r="AF25" s="17" t="str">
        <f t="shared" si="0"/>
        <v/>
      </c>
      <c r="AG25" s="17" t="str">
        <f t="shared" si="0"/>
        <v/>
      </c>
      <c r="AH25" s="17" t="str">
        <f t="shared" si="0"/>
        <v/>
      </c>
      <c r="AI25" s="17" t="str">
        <f t="shared" si="0"/>
        <v/>
      </c>
      <c r="AJ25" s="18" t="str">
        <f t="shared" si="0"/>
        <v/>
      </c>
      <c r="AK25" s="38"/>
      <c r="AN25" s="38">
        <f>2^AN$24*B25</f>
        <v>128</v>
      </c>
      <c r="AO25" s="38">
        <f>2^AO$24*C25</f>
        <v>64</v>
      </c>
      <c r="AP25" s="38">
        <f>2^AP$24*D25</f>
        <v>32</v>
      </c>
      <c r="AQ25" s="38">
        <f>2^AQ$24*E25</f>
        <v>16</v>
      </c>
      <c r="AR25" s="38">
        <f>2^AR$24*F25</f>
        <v>8</v>
      </c>
      <c r="AS25" s="38">
        <f>2^AS$24*G25</f>
        <v>4</v>
      </c>
      <c r="AT25" s="38">
        <f>2^AT$24*H25</f>
        <v>2</v>
      </c>
      <c r="AU25" s="38">
        <f>2^AU$24*I25</f>
        <v>0</v>
      </c>
      <c r="AV25" s="38">
        <f>2^AV$24*J25</f>
        <v>0</v>
      </c>
      <c r="AW25" s="38">
        <f>2^AW$24*K25</f>
        <v>64</v>
      </c>
      <c r="AX25" s="38">
        <f>2^AX$24*L25</f>
        <v>32</v>
      </c>
      <c r="AY25" s="38">
        <f>2^AY$24*M25</f>
        <v>16</v>
      </c>
      <c r="AZ25" s="38">
        <f>2^AZ$24*N25</f>
        <v>8</v>
      </c>
      <c r="BA25" s="38">
        <f>2^BA$24*O25</f>
        <v>4</v>
      </c>
      <c r="BB25" s="38">
        <f>2^BB$24*P25</f>
        <v>2</v>
      </c>
      <c r="BC25" s="38">
        <f>2^BC$24*Q25</f>
        <v>1</v>
      </c>
      <c r="BD25" s="38" t="str">
        <f>DEC2HEX(256 * SUM(AV25:BC25) + SUM(AN25:AU25), 4)</f>
        <v>7FFE</v>
      </c>
      <c r="BF25" s="29" t="str">
        <f>IF(AND($B$21 = (COLUMN(BF25) - COLUMN($BF$25)),$B$22 = (ROW(BF25) - ROW($BF$25))), "X", "")</f>
        <v/>
      </c>
      <c r="BG25" s="30" t="str">
        <f t="shared" ref="BG25:BU40" si="1">IF(AND($B$21 = (COLUMN(BG25) - COLUMN($BF$25)),$B$22 = (ROW(BG25) - ROW($BF$25))), "X", "")</f>
        <v/>
      </c>
      <c r="BH25" s="30" t="str">
        <f t="shared" si="1"/>
        <v/>
      </c>
      <c r="BI25" s="30" t="str">
        <f t="shared" si="1"/>
        <v/>
      </c>
      <c r="BJ25" s="30" t="str">
        <f t="shared" si="1"/>
        <v/>
      </c>
      <c r="BK25" s="30" t="str">
        <f t="shared" si="1"/>
        <v/>
      </c>
      <c r="BL25" s="30" t="str">
        <f t="shared" si="1"/>
        <v/>
      </c>
      <c r="BM25" s="30" t="str">
        <f t="shared" si="1"/>
        <v/>
      </c>
      <c r="BN25" s="30" t="str">
        <f t="shared" si="1"/>
        <v/>
      </c>
      <c r="BO25" s="30" t="str">
        <f t="shared" si="1"/>
        <v/>
      </c>
      <c r="BP25" s="30" t="str">
        <f t="shared" si="1"/>
        <v/>
      </c>
      <c r="BQ25" s="30" t="str">
        <f t="shared" si="1"/>
        <v/>
      </c>
      <c r="BR25" s="30" t="str">
        <f t="shared" si="1"/>
        <v/>
      </c>
      <c r="BS25" s="30" t="str">
        <f t="shared" si="1"/>
        <v/>
      </c>
      <c r="BT25" s="30" t="str">
        <f t="shared" si="1"/>
        <v/>
      </c>
      <c r="BU25" s="31" t="str">
        <f t="shared" si="1"/>
        <v/>
      </c>
    </row>
    <row r="26" spans="1:82" ht="13" customHeight="1" x14ac:dyDescent="0.25">
      <c r="A26" s="58"/>
      <c r="B26" s="71">
        <v>1</v>
      </c>
      <c r="C26" s="72">
        <v>1</v>
      </c>
      <c r="D26" s="72">
        <v>1</v>
      </c>
      <c r="E26" s="72">
        <v>1</v>
      </c>
      <c r="F26" s="72">
        <v>1</v>
      </c>
      <c r="G26" s="72">
        <v>1</v>
      </c>
      <c r="H26" s="72"/>
      <c r="I26" s="72"/>
      <c r="J26" s="72"/>
      <c r="K26" s="72"/>
      <c r="L26" s="72">
        <v>1</v>
      </c>
      <c r="M26" s="72">
        <v>1</v>
      </c>
      <c r="N26" s="72">
        <v>1</v>
      </c>
      <c r="O26" s="72">
        <v>1</v>
      </c>
      <c r="P26" s="72">
        <v>1</v>
      </c>
      <c r="Q26" s="73">
        <v>1</v>
      </c>
      <c r="R26" s="58"/>
      <c r="T26" s="38"/>
      <c r="U26" s="19" t="str">
        <f t="shared" ref="U26:AJ40" si="2">IF(AND($B$21 = (COLUMN(U26) - COLUMN($U$25)),$B$22 = (ROW(U26) - ROW($U$25))), "X", "")</f>
        <v/>
      </c>
      <c r="V26" s="20" t="str">
        <f t="shared" si="0"/>
        <v/>
      </c>
      <c r="W26" s="20" t="str">
        <f t="shared" si="0"/>
        <v/>
      </c>
      <c r="X26" s="20" t="str">
        <f t="shared" si="0"/>
        <v/>
      </c>
      <c r="Y26" s="20" t="str">
        <f t="shared" si="0"/>
        <v/>
      </c>
      <c r="Z26" s="20" t="str">
        <f t="shared" si="0"/>
        <v/>
      </c>
      <c r="AA26" s="20" t="str">
        <f t="shared" si="0"/>
        <v/>
      </c>
      <c r="AB26" s="20" t="str">
        <f t="shared" si="0"/>
        <v/>
      </c>
      <c r="AC26" s="20" t="str">
        <f t="shared" si="0"/>
        <v/>
      </c>
      <c r="AD26" s="20" t="str">
        <f t="shared" si="0"/>
        <v/>
      </c>
      <c r="AE26" s="20" t="str">
        <f t="shared" si="0"/>
        <v/>
      </c>
      <c r="AF26" s="20" t="str">
        <f t="shared" si="0"/>
        <v/>
      </c>
      <c r="AG26" s="20" t="str">
        <f t="shared" si="0"/>
        <v/>
      </c>
      <c r="AH26" s="20" t="str">
        <f t="shared" si="0"/>
        <v/>
      </c>
      <c r="AI26" s="20" t="str">
        <f t="shared" si="0"/>
        <v/>
      </c>
      <c r="AJ26" s="21" t="str">
        <f t="shared" si="0"/>
        <v/>
      </c>
      <c r="AK26" s="38"/>
      <c r="AN26" s="38">
        <f>2^AN$24*B26</f>
        <v>128</v>
      </c>
      <c r="AO26" s="38">
        <f>2^AO$24*C26</f>
        <v>64</v>
      </c>
      <c r="AP26" s="38">
        <f>2^AP$24*D26</f>
        <v>32</v>
      </c>
      <c r="AQ26" s="38">
        <f>2^AQ$24*E26</f>
        <v>16</v>
      </c>
      <c r="AR26" s="38">
        <f>2^AR$24*F26</f>
        <v>8</v>
      </c>
      <c r="AS26" s="38">
        <f>2^AS$24*G26</f>
        <v>4</v>
      </c>
      <c r="AT26" s="38">
        <f>2^AT$24*H26</f>
        <v>0</v>
      </c>
      <c r="AU26" s="38">
        <f>2^AU$24*I26</f>
        <v>0</v>
      </c>
      <c r="AV26" s="38">
        <f>2^AV$24*J26</f>
        <v>0</v>
      </c>
      <c r="AW26" s="38">
        <f>2^AW$24*K26</f>
        <v>0</v>
      </c>
      <c r="AX26" s="38">
        <f>2^AX$24*L26</f>
        <v>32</v>
      </c>
      <c r="AY26" s="38">
        <f>2^AY$24*M26</f>
        <v>16</v>
      </c>
      <c r="AZ26" s="38">
        <f>2^AZ$24*N26</f>
        <v>8</v>
      </c>
      <c r="BA26" s="38">
        <f>2^BA$24*O26</f>
        <v>4</v>
      </c>
      <c r="BB26" s="38">
        <f>2^BB$24*P26</f>
        <v>2</v>
      </c>
      <c r="BC26" s="38">
        <f>2^BC$24*Q26</f>
        <v>1</v>
      </c>
      <c r="BD26" s="38" t="str">
        <f t="shared" ref="BD26:BD40" si="3">DEC2HEX(256 * SUM(AV26:BC26) + SUM(AN26:AU26), 4)</f>
        <v>3FFC</v>
      </c>
      <c r="BF26" s="32" t="str">
        <f t="shared" ref="BF26:BU40" si="4">IF(AND($B$21 = (COLUMN(BF26) - COLUMN($BF$25)),$B$22 = (ROW(BF26) - ROW($BF$25))), "X", "")</f>
        <v/>
      </c>
      <c r="BG26" s="33" t="str">
        <f t="shared" si="1"/>
        <v/>
      </c>
      <c r="BH26" s="33" t="str">
        <f t="shared" si="1"/>
        <v/>
      </c>
      <c r="BI26" s="33" t="str">
        <f t="shared" si="1"/>
        <v/>
      </c>
      <c r="BJ26" s="33" t="str">
        <f t="shared" si="1"/>
        <v/>
      </c>
      <c r="BK26" s="33" t="str">
        <f t="shared" si="1"/>
        <v/>
      </c>
      <c r="BL26" s="33" t="str">
        <f t="shared" si="1"/>
        <v/>
      </c>
      <c r="BM26" s="33" t="str">
        <f t="shared" si="1"/>
        <v/>
      </c>
      <c r="BN26" s="33" t="str">
        <f t="shared" si="1"/>
        <v/>
      </c>
      <c r="BO26" s="33" t="str">
        <f t="shared" si="1"/>
        <v/>
      </c>
      <c r="BP26" s="33" t="str">
        <f t="shared" si="1"/>
        <v/>
      </c>
      <c r="BQ26" s="33" t="str">
        <f t="shared" si="1"/>
        <v/>
      </c>
      <c r="BR26" s="33" t="str">
        <f t="shared" si="1"/>
        <v/>
      </c>
      <c r="BS26" s="33" t="str">
        <f t="shared" si="1"/>
        <v/>
      </c>
      <c r="BT26" s="33" t="str">
        <f t="shared" si="1"/>
        <v/>
      </c>
      <c r="BU26" s="34" t="str">
        <f t="shared" si="1"/>
        <v/>
      </c>
    </row>
    <row r="27" spans="1:82" ht="13" customHeight="1" x14ac:dyDescent="0.25">
      <c r="A27" s="58"/>
      <c r="B27" s="71">
        <v>1</v>
      </c>
      <c r="C27" s="72">
        <v>1</v>
      </c>
      <c r="D27" s="72">
        <v>1</v>
      </c>
      <c r="E27" s="72">
        <v>1</v>
      </c>
      <c r="F27" s="72">
        <v>1</v>
      </c>
      <c r="G27" s="72">
        <v>1</v>
      </c>
      <c r="H27" s="72"/>
      <c r="I27" s="72"/>
      <c r="J27" s="72"/>
      <c r="K27" s="72"/>
      <c r="L27" s="72">
        <v>1</v>
      </c>
      <c r="M27" s="72">
        <v>1</v>
      </c>
      <c r="N27" s="72">
        <v>1</v>
      </c>
      <c r="O27" s="72">
        <v>1</v>
      </c>
      <c r="P27" s="72">
        <v>1</v>
      </c>
      <c r="Q27" s="73">
        <v>1</v>
      </c>
      <c r="R27" s="58"/>
      <c r="T27" s="38"/>
      <c r="U27" s="19" t="str">
        <f t="shared" si="2"/>
        <v/>
      </c>
      <c r="V27" s="20" t="str">
        <f t="shared" si="0"/>
        <v/>
      </c>
      <c r="W27" s="20" t="str">
        <f t="shared" si="0"/>
        <v/>
      </c>
      <c r="X27" s="20" t="str">
        <f t="shared" si="0"/>
        <v/>
      </c>
      <c r="Y27" s="20" t="str">
        <f t="shared" si="0"/>
        <v/>
      </c>
      <c r="Z27" s="20" t="str">
        <f t="shared" si="0"/>
        <v/>
      </c>
      <c r="AA27" s="20" t="str">
        <f t="shared" si="0"/>
        <v/>
      </c>
      <c r="AB27" s="20" t="str">
        <f t="shared" si="0"/>
        <v/>
      </c>
      <c r="AC27" s="20" t="str">
        <f t="shared" si="0"/>
        <v/>
      </c>
      <c r="AD27" s="20" t="str">
        <f t="shared" si="0"/>
        <v/>
      </c>
      <c r="AE27" s="20" t="str">
        <f t="shared" si="0"/>
        <v/>
      </c>
      <c r="AF27" s="20" t="str">
        <f t="shared" si="0"/>
        <v/>
      </c>
      <c r="AG27" s="20" t="str">
        <f t="shared" si="0"/>
        <v/>
      </c>
      <c r="AH27" s="20" t="str">
        <f t="shared" si="0"/>
        <v/>
      </c>
      <c r="AI27" s="20" t="str">
        <f t="shared" si="0"/>
        <v/>
      </c>
      <c r="AJ27" s="21" t="str">
        <f t="shared" si="0"/>
        <v/>
      </c>
      <c r="AK27" s="38"/>
      <c r="AN27" s="38">
        <f>2^AN$24*B27</f>
        <v>128</v>
      </c>
      <c r="AO27" s="38">
        <f>2^AO$24*C27</f>
        <v>64</v>
      </c>
      <c r="AP27" s="38">
        <f>2^AP$24*D27</f>
        <v>32</v>
      </c>
      <c r="AQ27" s="38">
        <f>2^AQ$24*E27</f>
        <v>16</v>
      </c>
      <c r="AR27" s="38">
        <f>2^AR$24*F27</f>
        <v>8</v>
      </c>
      <c r="AS27" s="38">
        <f>2^AS$24*G27</f>
        <v>4</v>
      </c>
      <c r="AT27" s="38">
        <f>2^AT$24*H27</f>
        <v>0</v>
      </c>
      <c r="AU27" s="38">
        <f>2^AU$24*I27</f>
        <v>0</v>
      </c>
      <c r="AV27" s="38">
        <f>2^AV$24*J27</f>
        <v>0</v>
      </c>
      <c r="AW27" s="38">
        <f>2^AW$24*K27</f>
        <v>0</v>
      </c>
      <c r="AX27" s="38">
        <f>2^AX$24*L27</f>
        <v>32</v>
      </c>
      <c r="AY27" s="38">
        <f>2^AY$24*M27</f>
        <v>16</v>
      </c>
      <c r="AZ27" s="38">
        <f>2^AZ$24*N27</f>
        <v>8</v>
      </c>
      <c r="BA27" s="38">
        <f>2^BA$24*O27</f>
        <v>4</v>
      </c>
      <c r="BB27" s="38">
        <f>2^BB$24*P27</f>
        <v>2</v>
      </c>
      <c r="BC27" s="38">
        <f>2^BC$24*Q27</f>
        <v>1</v>
      </c>
      <c r="BD27" s="38" t="str">
        <f t="shared" si="3"/>
        <v>3FFC</v>
      </c>
      <c r="BF27" s="32" t="str">
        <f t="shared" si="4"/>
        <v/>
      </c>
      <c r="BG27" s="33" t="str">
        <f t="shared" si="1"/>
        <v/>
      </c>
      <c r="BH27" s="33" t="str">
        <f t="shared" si="1"/>
        <v/>
      </c>
      <c r="BI27" s="33" t="str">
        <f t="shared" si="1"/>
        <v/>
      </c>
      <c r="BJ27" s="33" t="str">
        <f t="shared" si="1"/>
        <v/>
      </c>
      <c r="BK27" s="33" t="str">
        <f t="shared" si="1"/>
        <v/>
      </c>
      <c r="BL27" s="33" t="str">
        <f t="shared" si="1"/>
        <v/>
      </c>
      <c r="BM27" s="33" t="str">
        <f t="shared" si="1"/>
        <v/>
      </c>
      <c r="BN27" s="33" t="str">
        <f t="shared" si="1"/>
        <v/>
      </c>
      <c r="BO27" s="33" t="str">
        <f t="shared" si="1"/>
        <v/>
      </c>
      <c r="BP27" s="33" t="str">
        <f t="shared" si="1"/>
        <v/>
      </c>
      <c r="BQ27" s="33" t="str">
        <f t="shared" si="1"/>
        <v/>
      </c>
      <c r="BR27" s="33" t="str">
        <f t="shared" si="1"/>
        <v/>
      </c>
      <c r="BS27" s="33" t="str">
        <f t="shared" si="1"/>
        <v/>
      </c>
      <c r="BT27" s="33" t="str">
        <f t="shared" si="1"/>
        <v/>
      </c>
      <c r="BU27" s="34" t="str">
        <f t="shared" si="1"/>
        <v/>
      </c>
    </row>
    <row r="28" spans="1:82" ht="13" customHeight="1" x14ac:dyDescent="0.25">
      <c r="A28" s="58"/>
      <c r="B28" s="71">
        <v>1</v>
      </c>
      <c r="C28" s="72">
        <v>1</v>
      </c>
      <c r="D28" s="72">
        <v>1</v>
      </c>
      <c r="E28" s="72">
        <v>1</v>
      </c>
      <c r="F28" s="72">
        <v>1</v>
      </c>
      <c r="G28" s="72">
        <v>1</v>
      </c>
      <c r="H28" s="72"/>
      <c r="I28" s="72"/>
      <c r="J28" s="72"/>
      <c r="K28" s="72"/>
      <c r="L28" s="72">
        <v>1</v>
      </c>
      <c r="M28" s="72">
        <v>1</v>
      </c>
      <c r="N28" s="72">
        <v>1</v>
      </c>
      <c r="O28" s="72">
        <v>1</v>
      </c>
      <c r="P28" s="72">
        <v>1</v>
      </c>
      <c r="Q28" s="73">
        <v>1</v>
      </c>
      <c r="R28" s="58"/>
      <c r="T28" s="38"/>
      <c r="U28" s="19" t="str">
        <f t="shared" si="2"/>
        <v/>
      </c>
      <c r="V28" s="20" t="str">
        <f t="shared" si="0"/>
        <v/>
      </c>
      <c r="W28" s="20" t="str">
        <f t="shared" si="0"/>
        <v/>
      </c>
      <c r="X28" s="20" t="str">
        <f t="shared" si="0"/>
        <v/>
      </c>
      <c r="Y28" s="20" t="str">
        <f t="shared" si="0"/>
        <v/>
      </c>
      <c r="Z28" s="20" t="str">
        <f t="shared" si="0"/>
        <v/>
      </c>
      <c r="AA28" s="20" t="str">
        <f t="shared" si="0"/>
        <v/>
      </c>
      <c r="AB28" s="20" t="str">
        <f t="shared" si="0"/>
        <v/>
      </c>
      <c r="AC28" s="20" t="str">
        <f t="shared" si="0"/>
        <v/>
      </c>
      <c r="AD28" s="20" t="str">
        <f t="shared" si="0"/>
        <v/>
      </c>
      <c r="AE28" s="20" t="str">
        <f t="shared" si="0"/>
        <v/>
      </c>
      <c r="AF28" s="20" t="str">
        <f t="shared" si="0"/>
        <v/>
      </c>
      <c r="AG28" s="20" t="str">
        <f t="shared" si="0"/>
        <v/>
      </c>
      <c r="AH28" s="20" t="str">
        <f t="shared" si="0"/>
        <v/>
      </c>
      <c r="AI28" s="20" t="str">
        <f t="shared" si="0"/>
        <v/>
      </c>
      <c r="AJ28" s="21" t="str">
        <f t="shared" si="0"/>
        <v/>
      </c>
      <c r="AK28" s="38"/>
      <c r="AN28" s="38">
        <f>2^AN$24*B28</f>
        <v>128</v>
      </c>
      <c r="AO28" s="38">
        <f>2^AO$24*C28</f>
        <v>64</v>
      </c>
      <c r="AP28" s="38">
        <f>2^AP$24*D28</f>
        <v>32</v>
      </c>
      <c r="AQ28" s="38">
        <f>2^AQ$24*E28</f>
        <v>16</v>
      </c>
      <c r="AR28" s="38">
        <f>2^AR$24*F28</f>
        <v>8</v>
      </c>
      <c r="AS28" s="38">
        <f>2^AS$24*G28</f>
        <v>4</v>
      </c>
      <c r="AT28" s="38">
        <f>2^AT$24*H28</f>
        <v>0</v>
      </c>
      <c r="AU28" s="38">
        <f>2^AU$24*I28</f>
        <v>0</v>
      </c>
      <c r="AV28" s="38">
        <f>2^AV$24*J28</f>
        <v>0</v>
      </c>
      <c r="AW28" s="38">
        <f>2^AW$24*K28</f>
        <v>0</v>
      </c>
      <c r="AX28" s="38">
        <f>2^AX$24*L28</f>
        <v>32</v>
      </c>
      <c r="AY28" s="38">
        <f>2^AY$24*M28</f>
        <v>16</v>
      </c>
      <c r="AZ28" s="38">
        <f>2^AZ$24*N28</f>
        <v>8</v>
      </c>
      <c r="BA28" s="38">
        <f>2^BA$24*O28</f>
        <v>4</v>
      </c>
      <c r="BB28" s="38">
        <f>2^BB$24*P28</f>
        <v>2</v>
      </c>
      <c r="BC28" s="38">
        <f>2^BC$24*Q28</f>
        <v>1</v>
      </c>
      <c r="BD28" s="38" t="str">
        <f t="shared" si="3"/>
        <v>3FFC</v>
      </c>
      <c r="BF28" s="32" t="str">
        <f t="shared" si="4"/>
        <v/>
      </c>
      <c r="BG28" s="33" t="str">
        <f t="shared" si="1"/>
        <v/>
      </c>
      <c r="BH28" s="33" t="str">
        <f t="shared" si="1"/>
        <v/>
      </c>
      <c r="BI28" s="33" t="str">
        <f t="shared" si="1"/>
        <v/>
      </c>
      <c r="BJ28" s="33" t="str">
        <f t="shared" si="1"/>
        <v/>
      </c>
      <c r="BK28" s="33" t="str">
        <f t="shared" si="1"/>
        <v/>
      </c>
      <c r="BL28" s="33" t="str">
        <f t="shared" si="1"/>
        <v/>
      </c>
      <c r="BM28" s="33" t="str">
        <f t="shared" si="1"/>
        <v/>
      </c>
      <c r="BN28" s="33" t="str">
        <f t="shared" si="1"/>
        <v/>
      </c>
      <c r="BO28" s="33" t="str">
        <f t="shared" si="1"/>
        <v/>
      </c>
      <c r="BP28" s="33" t="str">
        <f t="shared" si="1"/>
        <v/>
      </c>
      <c r="BQ28" s="33" t="str">
        <f t="shared" si="1"/>
        <v/>
      </c>
      <c r="BR28" s="33" t="str">
        <f t="shared" si="1"/>
        <v/>
      </c>
      <c r="BS28" s="33" t="str">
        <f t="shared" si="1"/>
        <v/>
      </c>
      <c r="BT28" s="33" t="str">
        <f t="shared" si="1"/>
        <v/>
      </c>
      <c r="BU28" s="34" t="str">
        <f t="shared" si="1"/>
        <v/>
      </c>
    </row>
    <row r="29" spans="1:82" ht="13" customHeight="1" x14ac:dyDescent="0.25">
      <c r="A29" s="58"/>
      <c r="B29" s="71">
        <v>1</v>
      </c>
      <c r="C29" s="72">
        <v>1</v>
      </c>
      <c r="D29" s="72">
        <v>1</v>
      </c>
      <c r="E29" s="72">
        <v>1</v>
      </c>
      <c r="F29" s="72">
        <v>1</v>
      </c>
      <c r="G29" s="72">
        <v>1</v>
      </c>
      <c r="H29" s="72"/>
      <c r="I29" s="72"/>
      <c r="J29" s="72"/>
      <c r="K29" s="72"/>
      <c r="L29" s="72">
        <v>1</v>
      </c>
      <c r="M29" s="72">
        <v>1</v>
      </c>
      <c r="N29" s="72">
        <v>1</v>
      </c>
      <c r="O29" s="72">
        <v>1</v>
      </c>
      <c r="P29" s="72">
        <v>1</v>
      </c>
      <c r="Q29" s="73">
        <v>1</v>
      </c>
      <c r="R29" s="58"/>
      <c r="T29" s="38"/>
      <c r="U29" s="19" t="str">
        <f t="shared" si="2"/>
        <v/>
      </c>
      <c r="V29" s="20" t="str">
        <f t="shared" si="0"/>
        <v/>
      </c>
      <c r="W29" s="20" t="str">
        <f t="shared" si="0"/>
        <v/>
      </c>
      <c r="X29" s="20" t="str">
        <f t="shared" si="0"/>
        <v/>
      </c>
      <c r="Y29" s="20" t="str">
        <f t="shared" si="0"/>
        <v/>
      </c>
      <c r="Z29" s="20" t="str">
        <f t="shared" si="0"/>
        <v/>
      </c>
      <c r="AA29" s="20" t="str">
        <f t="shared" si="0"/>
        <v/>
      </c>
      <c r="AB29" s="20" t="str">
        <f t="shared" si="0"/>
        <v/>
      </c>
      <c r="AC29" s="20" t="str">
        <f t="shared" si="0"/>
        <v/>
      </c>
      <c r="AD29" s="20" t="str">
        <f t="shared" si="0"/>
        <v/>
      </c>
      <c r="AE29" s="20" t="str">
        <f t="shared" si="0"/>
        <v/>
      </c>
      <c r="AF29" s="20" t="str">
        <f t="shared" si="0"/>
        <v/>
      </c>
      <c r="AG29" s="20" t="str">
        <f t="shared" si="0"/>
        <v/>
      </c>
      <c r="AH29" s="20" t="str">
        <f t="shared" si="0"/>
        <v/>
      </c>
      <c r="AI29" s="20" t="str">
        <f t="shared" si="0"/>
        <v/>
      </c>
      <c r="AJ29" s="21" t="str">
        <f t="shared" si="0"/>
        <v/>
      </c>
      <c r="AK29" s="38"/>
      <c r="AN29" s="38">
        <f t="shared" ref="AN29:AN40" si="5">2^AN$24*B29</f>
        <v>128</v>
      </c>
      <c r="AO29" s="38">
        <f>2^AO$24*C29</f>
        <v>64</v>
      </c>
      <c r="AP29" s="38">
        <f>2^AP$24*D29</f>
        <v>32</v>
      </c>
      <c r="AQ29" s="38">
        <f>2^AQ$24*E29</f>
        <v>16</v>
      </c>
      <c r="AR29" s="38">
        <f>2^AR$24*F29</f>
        <v>8</v>
      </c>
      <c r="AS29" s="38">
        <f>2^AS$24*G29</f>
        <v>4</v>
      </c>
      <c r="AT29" s="38">
        <f>2^AT$24*H29</f>
        <v>0</v>
      </c>
      <c r="AU29" s="38">
        <f>2^AU$24*I29</f>
        <v>0</v>
      </c>
      <c r="AV29" s="38">
        <f>2^AV$24*J29</f>
        <v>0</v>
      </c>
      <c r="AW29" s="38">
        <f>2^AW$24*K29</f>
        <v>0</v>
      </c>
      <c r="AX29" s="38">
        <f>2^AX$24*L29</f>
        <v>32</v>
      </c>
      <c r="AY29" s="38">
        <f>2^AY$24*M29</f>
        <v>16</v>
      </c>
      <c r="AZ29" s="38">
        <f>2^AZ$24*N29</f>
        <v>8</v>
      </c>
      <c r="BA29" s="38">
        <f>2^BA$24*O29</f>
        <v>4</v>
      </c>
      <c r="BB29" s="38">
        <f>2^BB$24*P29</f>
        <v>2</v>
      </c>
      <c r="BC29" s="38">
        <f>2^BC$24*Q29</f>
        <v>1</v>
      </c>
      <c r="BD29" s="38" t="str">
        <f t="shared" si="3"/>
        <v>3FFC</v>
      </c>
      <c r="BF29" s="32" t="str">
        <f t="shared" si="4"/>
        <v/>
      </c>
      <c r="BG29" s="33" t="str">
        <f t="shared" si="1"/>
        <v/>
      </c>
      <c r="BH29" s="33" t="str">
        <f t="shared" si="1"/>
        <v/>
      </c>
      <c r="BI29" s="33" t="str">
        <f t="shared" si="1"/>
        <v/>
      </c>
      <c r="BJ29" s="33" t="str">
        <f t="shared" si="1"/>
        <v/>
      </c>
      <c r="BK29" s="33" t="str">
        <f t="shared" si="1"/>
        <v/>
      </c>
      <c r="BL29" s="33" t="str">
        <f t="shared" si="1"/>
        <v/>
      </c>
      <c r="BM29" s="33" t="str">
        <f t="shared" si="1"/>
        <v/>
      </c>
      <c r="BN29" s="33" t="str">
        <f t="shared" si="1"/>
        <v/>
      </c>
      <c r="BO29" s="33" t="str">
        <f t="shared" si="1"/>
        <v/>
      </c>
      <c r="BP29" s="33" t="str">
        <f t="shared" si="1"/>
        <v/>
      </c>
      <c r="BQ29" s="33" t="str">
        <f t="shared" si="1"/>
        <v/>
      </c>
      <c r="BR29" s="33" t="str">
        <f t="shared" si="1"/>
        <v/>
      </c>
      <c r="BS29" s="33" t="str">
        <f t="shared" si="1"/>
        <v/>
      </c>
      <c r="BT29" s="33" t="str">
        <f t="shared" si="1"/>
        <v/>
      </c>
      <c r="BU29" s="34" t="str">
        <f t="shared" si="1"/>
        <v/>
      </c>
    </row>
    <row r="30" spans="1:82" ht="13" customHeight="1" x14ac:dyDescent="0.25">
      <c r="A30" s="58"/>
      <c r="B30" s="71">
        <v>1</v>
      </c>
      <c r="C30" s="72">
        <v>1</v>
      </c>
      <c r="D30" s="72">
        <v>1</v>
      </c>
      <c r="E30" s="72">
        <v>1</v>
      </c>
      <c r="F30" s="72">
        <v>1</v>
      </c>
      <c r="G30" s="72">
        <v>1</v>
      </c>
      <c r="H30" s="72"/>
      <c r="I30" s="72"/>
      <c r="J30" s="72"/>
      <c r="K30" s="72"/>
      <c r="L30" s="72">
        <v>1</v>
      </c>
      <c r="M30" s="72">
        <v>1</v>
      </c>
      <c r="N30" s="72">
        <v>1</v>
      </c>
      <c r="O30" s="72">
        <v>1</v>
      </c>
      <c r="P30" s="72">
        <v>1</v>
      </c>
      <c r="Q30" s="73">
        <v>1</v>
      </c>
      <c r="R30" s="58"/>
      <c r="T30" s="38"/>
      <c r="U30" s="19" t="str">
        <f t="shared" si="2"/>
        <v/>
      </c>
      <c r="V30" s="20" t="str">
        <f t="shared" si="0"/>
        <v/>
      </c>
      <c r="W30" s="20" t="str">
        <f t="shared" si="0"/>
        <v/>
      </c>
      <c r="X30" s="20" t="str">
        <f t="shared" si="0"/>
        <v/>
      </c>
      <c r="Y30" s="20" t="str">
        <f t="shared" si="0"/>
        <v/>
      </c>
      <c r="Z30" s="20" t="str">
        <f t="shared" si="0"/>
        <v/>
      </c>
      <c r="AA30" s="20" t="str">
        <f t="shared" si="0"/>
        <v/>
      </c>
      <c r="AB30" s="20" t="str">
        <f t="shared" si="0"/>
        <v/>
      </c>
      <c r="AC30" s="20" t="str">
        <f t="shared" si="0"/>
        <v/>
      </c>
      <c r="AD30" s="20" t="str">
        <f t="shared" si="0"/>
        <v/>
      </c>
      <c r="AE30" s="20" t="str">
        <f t="shared" si="0"/>
        <v/>
      </c>
      <c r="AF30" s="20" t="str">
        <f t="shared" si="0"/>
        <v/>
      </c>
      <c r="AG30" s="20" t="str">
        <f t="shared" si="0"/>
        <v/>
      </c>
      <c r="AH30" s="20" t="str">
        <f t="shared" si="0"/>
        <v/>
      </c>
      <c r="AI30" s="20" t="str">
        <f t="shared" si="0"/>
        <v/>
      </c>
      <c r="AJ30" s="21" t="str">
        <f t="shared" si="0"/>
        <v/>
      </c>
      <c r="AK30" s="38"/>
      <c r="AN30" s="38">
        <f t="shared" si="5"/>
        <v>128</v>
      </c>
      <c r="AO30" s="38">
        <f>2^AO$24*C30</f>
        <v>64</v>
      </c>
      <c r="AP30" s="38">
        <f>2^AP$24*D30</f>
        <v>32</v>
      </c>
      <c r="AQ30" s="38">
        <f>2^AQ$24*E30</f>
        <v>16</v>
      </c>
      <c r="AR30" s="38">
        <f>2^AR$24*F30</f>
        <v>8</v>
      </c>
      <c r="AS30" s="38">
        <f>2^AS$24*G30</f>
        <v>4</v>
      </c>
      <c r="AT30" s="38">
        <f>2^AT$24*H30</f>
        <v>0</v>
      </c>
      <c r="AU30" s="38">
        <f>2^AU$24*I30</f>
        <v>0</v>
      </c>
      <c r="AV30" s="38">
        <f>2^AV$24*J30</f>
        <v>0</v>
      </c>
      <c r="AW30" s="38">
        <f>2^AW$24*K30</f>
        <v>0</v>
      </c>
      <c r="AX30" s="38">
        <f>2^AX$24*L30</f>
        <v>32</v>
      </c>
      <c r="AY30" s="38">
        <f>2^AY$24*M30</f>
        <v>16</v>
      </c>
      <c r="AZ30" s="38">
        <f>2^AZ$24*N30</f>
        <v>8</v>
      </c>
      <c r="BA30" s="38">
        <f>2^BA$24*O30</f>
        <v>4</v>
      </c>
      <c r="BB30" s="38">
        <f>2^BB$24*P30</f>
        <v>2</v>
      </c>
      <c r="BC30" s="38">
        <f>2^BC$24*Q30</f>
        <v>1</v>
      </c>
      <c r="BD30" s="38" t="str">
        <f t="shared" si="3"/>
        <v>3FFC</v>
      </c>
      <c r="BF30" s="32" t="str">
        <f t="shared" si="4"/>
        <v/>
      </c>
      <c r="BG30" s="33" t="str">
        <f t="shared" si="1"/>
        <v/>
      </c>
      <c r="BH30" s="33" t="str">
        <f t="shared" si="1"/>
        <v/>
      </c>
      <c r="BI30" s="33" t="str">
        <f t="shared" si="1"/>
        <v/>
      </c>
      <c r="BJ30" s="33" t="str">
        <f t="shared" si="1"/>
        <v/>
      </c>
      <c r="BK30" s="33" t="str">
        <f t="shared" si="1"/>
        <v/>
      </c>
      <c r="BL30" s="33" t="str">
        <f t="shared" si="1"/>
        <v/>
      </c>
      <c r="BM30" s="33" t="str">
        <f t="shared" si="1"/>
        <v/>
      </c>
      <c r="BN30" s="33" t="str">
        <f t="shared" si="1"/>
        <v/>
      </c>
      <c r="BO30" s="33" t="str">
        <f t="shared" si="1"/>
        <v/>
      </c>
      <c r="BP30" s="33" t="str">
        <f t="shared" si="1"/>
        <v/>
      </c>
      <c r="BQ30" s="33" t="str">
        <f t="shared" si="1"/>
        <v/>
      </c>
      <c r="BR30" s="33" t="str">
        <f t="shared" si="1"/>
        <v/>
      </c>
      <c r="BS30" s="33" t="str">
        <f t="shared" si="1"/>
        <v/>
      </c>
      <c r="BT30" s="33" t="str">
        <f t="shared" si="1"/>
        <v/>
      </c>
      <c r="BU30" s="34" t="str">
        <f t="shared" si="1"/>
        <v/>
      </c>
    </row>
    <row r="31" spans="1:82" ht="13" customHeight="1" x14ac:dyDescent="0.25">
      <c r="A31" s="58"/>
      <c r="B31" s="71">
        <v>1</v>
      </c>
      <c r="C31" s="72"/>
      <c r="D31" s="72"/>
      <c r="E31" s="72"/>
      <c r="F31" s="72"/>
      <c r="G31" s="72"/>
      <c r="H31" s="72"/>
      <c r="I31" s="72"/>
      <c r="J31" s="72"/>
      <c r="K31" s="72"/>
      <c r="L31" s="72"/>
      <c r="M31" s="72"/>
      <c r="N31" s="72"/>
      <c r="O31" s="72"/>
      <c r="P31" s="72"/>
      <c r="Q31" s="73">
        <v>1</v>
      </c>
      <c r="R31" s="58"/>
      <c r="T31" s="38"/>
      <c r="U31" s="19" t="str">
        <f t="shared" si="2"/>
        <v/>
      </c>
      <c r="V31" s="20" t="str">
        <f t="shared" si="0"/>
        <v/>
      </c>
      <c r="W31" s="20" t="str">
        <f t="shared" si="0"/>
        <v/>
      </c>
      <c r="X31" s="20" t="str">
        <f t="shared" si="0"/>
        <v/>
      </c>
      <c r="Y31" s="20" t="str">
        <f t="shared" si="0"/>
        <v/>
      </c>
      <c r="Z31" s="20" t="str">
        <f t="shared" si="0"/>
        <v/>
      </c>
      <c r="AA31" s="20" t="str">
        <f t="shared" si="0"/>
        <v/>
      </c>
      <c r="AB31" s="20" t="str">
        <f t="shared" si="0"/>
        <v/>
      </c>
      <c r="AC31" s="20" t="str">
        <f t="shared" si="0"/>
        <v/>
      </c>
      <c r="AD31" s="20" t="str">
        <f t="shared" si="0"/>
        <v/>
      </c>
      <c r="AE31" s="20" t="str">
        <f t="shared" si="0"/>
        <v/>
      </c>
      <c r="AF31" s="20" t="str">
        <f t="shared" si="0"/>
        <v/>
      </c>
      <c r="AG31" s="20" t="str">
        <f t="shared" si="0"/>
        <v/>
      </c>
      <c r="AH31" s="20" t="str">
        <f t="shared" si="0"/>
        <v/>
      </c>
      <c r="AI31" s="20" t="str">
        <f t="shared" si="0"/>
        <v/>
      </c>
      <c r="AJ31" s="21" t="str">
        <f t="shared" si="0"/>
        <v/>
      </c>
      <c r="AK31" s="38"/>
      <c r="AN31" s="38">
        <f t="shared" si="5"/>
        <v>128</v>
      </c>
      <c r="AO31" s="38">
        <f>2^AO$24*C31</f>
        <v>0</v>
      </c>
      <c r="AP31" s="38">
        <f>2^AP$24*D31</f>
        <v>0</v>
      </c>
      <c r="AQ31" s="38">
        <f>2^AQ$24*E31</f>
        <v>0</v>
      </c>
      <c r="AR31" s="38">
        <f>2^AR$24*F31</f>
        <v>0</v>
      </c>
      <c r="AS31" s="38">
        <f>2^AS$24*G31</f>
        <v>0</v>
      </c>
      <c r="AT31" s="38">
        <f>2^AT$24*H31</f>
        <v>0</v>
      </c>
      <c r="AU31" s="38">
        <f>2^AU$24*I31</f>
        <v>0</v>
      </c>
      <c r="AV31" s="38">
        <f>2^AV$24*J31</f>
        <v>0</v>
      </c>
      <c r="AW31" s="38">
        <f>2^AW$24*K31</f>
        <v>0</v>
      </c>
      <c r="AX31" s="38">
        <f>2^AX$24*L31</f>
        <v>0</v>
      </c>
      <c r="AY31" s="38">
        <f>2^AY$24*M31</f>
        <v>0</v>
      </c>
      <c r="AZ31" s="38">
        <f>2^AZ$24*N31</f>
        <v>0</v>
      </c>
      <c r="BA31" s="38">
        <f>2^BA$24*O31</f>
        <v>0</v>
      </c>
      <c r="BB31" s="38">
        <f>2^BB$24*P31</f>
        <v>0</v>
      </c>
      <c r="BC31" s="38">
        <f>2^BC$24*Q31</f>
        <v>1</v>
      </c>
      <c r="BD31" s="38" t="str">
        <f t="shared" si="3"/>
        <v>0180</v>
      </c>
      <c r="BF31" s="32" t="str">
        <f t="shared" si="4"/>
        <v/>
      </c>
      <c r="BG31" s="33" t="str">
        <f t="shared" si="1"/>
        <v/>
      </c>
      <c r="BH31" s="33" t="str">
        <f t="shared" si="1"/>
        <v/>
      </c>
      <c r="BI31" s="33" t="str">
        <f t="shared" si="1"/>
        <v/>
      </c>
      <c r="BJ31" s="33" t="str">
        <f t="shared" si="1"/>
        <v/>
      </c>
      <c r="BK31" s="33" t="str">
        <f t="shared" si="1"/>
        <v/>
      </c>
      <c r="BL31" s="33" t="str">
        <f t="shared" si="1"/>
        <v/>
      </c>
      <c r="BM31" s="33" t="str">
        <f t="shared" si="1"/>
        <v/>
      </c>
      <c r="BN31" s="33" t="str">
        <f t="shared" si="1"/>
        <v/>
      </c>
      <c r="BO31" s="33" t="str">
        <f t="shared" si="1"/>
        <v/>
      </c>
      <c r="BP31" s="33" t="str">
        <f t="shared" si="1"/>
        <v/>
      </c>
      <c r="BQ31" s="33" t="str">
        <f t="shared" si="1"/>
        <v/>
      </c>
      <c r="BR31" s="33" t="str">
        <f t="shared" si="1"/>
        <v/>
      </c>
      <c r="BS31" s="33" t="str">
        <f t="shared" si="1"/>
        <v/>
      </c>
      <c r="BT31" s="33" t="str">
        <f t="shared" si="1"/>
        <v/>
      </c>
      <c r="BU31" s="34" t="str">
        <f t="shared" si="1"/>
        <v/>
      </c>
    </row>
    <row r="32" spans="1:82" ht="13" customHeight="1" x14ac:dyDescent="0.25">
      <c r="A32" s="58"/>
      <c r="B32" s="71"/>
      <c r="C32" s="72"/>
      <c r="D32" s="72"/>
      <c r="E32" s="72"/>
      <c r="F32" s="72"/>
      <c r="G32" s="72"/>
      <c r="H32" s="72"/>
      <c r="I32" s="72">
        <v>1</v>
      </c>
      <c r="J32" s="72">
        <v>1</v>
      </c>
      <c r="K32" s="72"/>
      <c r="L32" s="72"/>
      <c r="M32" s="72"/>
      <c r="N32" s="72"/>
      <c r="O32" s="72"/>
      <c r="P32" s="72"/>
      <c r="Q32" s="73"/>
      <c r="R32" s="58"/>
      <c r="T32" s="38"/>
      <c r="U32" s="19" t="str">
        <f t="shared" si="2"/>
        <v/>
      </c>
      <c r="V32" s="20" t="str">
        <f t="shared" si="0"/>
        <v/>
      </c>
      <c r="W32" s="20" t="str">
        <f t="shared" si="0"/>
        <v/>
      </c>
      <c r="X32" s="20" t="str">
        <f t="shared" si="0"/>
        <v/>
      </c>
      <c r="Y32" s="20" t="str">
        <f t="shared" si="0"/>
        <v/>
      </c>
      <c r="Z32" s="20" t="str">
        <f t="shared" si="0"/>
        <v/>
      </c>
      <c r="AA32" s="20" t="str">
        <f t="shared" si="0"/>
        <v/>
      </c>
      <c r="AB32" s="20" t="str">
        <f t="shared" si="0"/>
        <v>X</v>
      </c>
      <c r="AC32" s="20" t="str">
        <f t="shared" si="0"/>
        <v/>
      </c>
      <c r="AD32" s="20" t="str">
        <f t="shared" si="0"/>
        <v/>
      </c>
      <c r="AE32" s="20" t="str">
        <f t="shared" si="0"/>
        <v/>
      </c>
      <c r="AF32" s="20" t="str">
        <f t="shared" si="0"/>
        <v/>
      </c>
      <c r="AG32" s="20" t="str">
        <f t="shared" si="0"/>
        <v/>
      </c>
      <c r="AH32" s="20" t="str">
        <f t="shared" si="0"/>
        <v/>
      </c>
      <c r="AI32" s="20" t="str">
        <f t="shared" si="0"/>
        <v/>
      </c>
      <c r="AJ32" s="21" t="str">
        <f t="shared" si="0"/>
        <v/>
      </c>
      <c r="AK32" s="38"/>
      <c r="AN32" s="38">
        <f t="shared" si="5"/>
        <v>0</v>
      </c>
      <c r="AO32" s="38">
        <f>2^AO$24*C32</f>
        <v>0</v>
      </c>
      <c r="AP32" s="38">
        <f>2^AP$24*D32</f>
        <v>0</v>
      </c>
      <c r="AQ32" s="38">
        <f>2^AQ$24*E32</f>
        <v>0</v>
      </c>
      <c r="AR32" s="38">
        <f>2^AR$24*F32</f>
        <v>0</v>
      </c>
      <c r="AS32" s="38">
        <f>2^AS$24*G32</f>
        <v>0</v>
      </c>
      <c r="AT32" s="38">
        <f>2^AT$24*H32</f>
        <v>0</v>
      </c>
      <c r="AU32" s="38">
        <f>2^AU$24*I32</f>
        <v>1</v>
      </c>
      <c r="AV32" s="38">
        <f>2^AV$24*J32</f>
        <v>128</v>
      </c>
      <c r="AW32" s="38">
        <f>2^AW$24*K32</f>
        <v>0</v>
      </c>
      <c r="AX32" s="38">
        <f>2^AX$24*L32</f>
        <v>0</v>
      </c>
      <c r="AY32" s="38">
        <f>2^AY$24*M32</f>
        <v>0</v>
      </c>
      <c r="AZ32" s="38">
        <f>2^AZ$24*N32</f>
        <v>0</v>
      </c>
      <c r="BA32" s="38">
        <f>2^BA$24*O32</f>
        <v>0</v>
      </c>
      <c r="BB32" s="38">
        <f>2^BB$24*P32</f>
        <v>0</v>
      </c>
      <c r="BC32" s="38">
        <f>2^BC$24*Q32</f>
        <v>0</v>
      </c>
      <c r="BD32" s="38" t="str">
        <f t="shared" si="3"/>
        <v>8001</v>
      </c>
      <c r="BF32" s="32" t="str">
        <f t="shared" si="4"/>
        <v/>
      </c>
      <c r="BG32" s="33" t="str">
        <f t="shared" si="1"/>
        <v/>
      </c>
      <c r="BH32" s="33" t="str">
        <f t="shared" si="1"/>
        <v/>
      </c>
      <c r="BI32" s="33" t="str">
        <f t="shared" si="1"/>
        <v/>
      </c>
      <c r="BJ32" s="33" t="str">
        <f t="shared" si="1"/>
        <v/>
      </c>
      <c r="BK32" s="33" t="str">
        <f t="shared" si="1"/>
        <v/>
      </c>
      <c r="BL32" s="33" t="str">
        <f t="shared" si="1"/>
        <v/>
      </c>
      <c r="BM32" s="33" t="str">
        <f t="shared" si="1"/>
        <v>X</v>
      </c>
      <c r="BN32" s="33" t="str">
        <f t="shared" si="1"/>
        <v/>
      </c>
      <c r="BO32" s="33" t="str">
        <f t="shared" si="1"/>
        <v/>
      </c>
      <c r="BP32" s="33" t="str">
        <f t="shared" si="1"/>
        <v/>
      </c>
      <c r="BQ32" s="33" t="str">
        <f t="shared" si="1"/>
        <v/>
      </c>
      <c r="BR32" s="33" t="str">
        <f t="shared" si="1"/>
        <v/>
      </c>
      <c r="BS32" s="33" t="str">
        <f t="shared" si="1"/>
        <v/>
      </c>
      <c r="BT32" s="33" t="str">
        <f t="shared" si="1"/>
        <v/>
      </c>
      <c r="BU32" s="34" t="str">
        <f t="shared" si="1"/>
        <v/>
      </c>
    </row>
    <row r="33" spans="1:81" ht="13" customHeight="1" x14ac:dyDescent="0.25">
      <c r="A33" s="58"/>
      <c r="B33" s="71"/>
      <c r="C33" s="72"/>
      <c r="D33" s="72"/>
      <c r="E33" s="72"/>
      <c r="F33" s="72"/>
      <c r="G33" s="72"/>
      <c r="H33" s="72"/>
      <c r="I33" s="72">
        <v>1</v>
      </c>
      <c r="J33" s="72">
        <v>1</v>
      </c>
      <c r="K33" s="72"/>
      <c r="L33" s="72"/>
      <c r="M33" s="72"/>
      <c r="N33" s="72"/>
      <c r="O33" s="72"/>
      <c r="P33" s="72"/>
      <c r="Q33" s="73"/>
      <c r="R33" s="58"/>
      <c r="T33" s="38"/>
      <c r="U33" s="19" t="str">
        <f t="shared" si="2"/>
        <v/>
      </c>
      <c r="V33" s="20" t="str">
        <f t="shared" si="0"/>
        <v/>
      </c>
      <c r="W33" s="20" t="str">
        <f t="shared" si="0"/>
        <v/>
      </c>
      <c r="X33" s="20" t="str">
        <f t="shared" si="0"/>
        <v/>
      </c>
      <c r="Y33" s="20" t="str">
        <f t="shared" si="0"/>
        <v/>
      </c>
      <c r="Z33" s="20" t="str">
        <f t="shared" si="0"/>
        <v/>
      </c>
      <c r="AA33" s="20" t="str">
        <f t="shared" si="0"/>
        <v/>
      </c>
      <c r="AB33" s="20" t="str">
        <f t="shared" si="0"/>
        <v/>
      </c>
      <c r="AC33" s="20" t="str">
        <f t="shared" si="0"/>
        <v/>
      </c>
      <c r="AD33" s="20" t="str">
        <f t="shared" si="0"/>
        <v/>
      </c>
      <c r="AE33" s="20" t="str">
        <f t="shared" si="0"/>
        <v/>
      </c>
      <c r="AF33" s="20" t="str">
        <f t="shared" si="0"/>
        <v/>
      </c>
      <c r="AG33" s="20" t="str">
        <f t="shared" si="0"/>
        <v/>
      </c>
      <c r="AH33" s="20" t="str">
        <f t="shared" si="0"/>
        <v/>
      </c>
      <c r="AI33" s="20" t="str">
        <f t="shared" si="0"/>
        <v/>
      </c>
      <c r="AJ33" s="21" t="str">
        <f t="shared" si="0"/>
        <v/>
      </c>
      <c r="AK33" s="38"/>
      <c r="AN33" s="38">
        <f t="shared" si="5"/>
        <v>0</v>
      </c>
      <c r="AO33" s="38">
        <f>2^AO$24*C33</f>
        <v>0</v>
      </c>
      <c r="AP33" s="38">
        <f>2^AP$24*D33</f>
        <v>0</v>
      </c>
      <c r="AQ33" s="38">
        <f>2^AQ$24*E33</f>
        <v>0</v>
      </c>
      <c r="AR33" s="38">
        <f>2^AR$24*F33</f>
        <v>0</v>
      </c>
      <c r="AS33" s="38">
        <f>2^AS$24*G33</f>
        <v>0</v>
      </c>
      <c r="AT33" s="38">
        <f>2^AT$24*H33</f>
        <v>0</v>
      </c>
      <c r="AU33" s="38">
        <f>2^AU$24*I33</f>
        <v>1</v>
      </c>
      <c r="AV33" s="38">
        <f>2^AV$24*J33</f>
        <v>128</v>
      </c>
      <c r="AW33" s="38">
        <f>2^AW$24*K33</f>
        <v>0</v>
      </c>
      <c r="AX33" s="38">
        <f>2^AX$24*L33</f>
        <v>0</v>
      </c>
      <c r="AY33" s="38">
        <f>2^AY$24*M33</f>
        <v>0</v>
      </c>
      <c r="AZ33" s="38">
        <f>2^AZ$24*N33</f>
        <v>0</v>
      </c>
      <c r="BA33" s="38">
        <f>2^BA$24*O33</f>
        <v>0</v>
      </c>
      <c r="BB33" s="38">
        <f>2^BB$24*P33</f>
        <v>0</v>
      </c>
      <c r="BC33" s="38">
        <f>2^BC$24*Q33</f>
        <v>0</v>
      </c>
      <c r="BD33" s="38" t="str">
        <f t="shared" si="3"/>
        <v>8001</v>
      </c>
      <c r="BF33" s="32" t="str">
        <f t="shared" si="4"/>
        <v/>
      </c>
      <c r="BG33" s="33" t="str">
        <f t="shared" si="1"/>
        <v/>
      </c>
      <c r="BH33" s="33" t="str">
        <f t="shared" si="1"/>
        <v/>
      </c>
      <c r="BI33" s="33" t="str">
        <f t="shared" si="1"/>
        <v/>
      </c>
      <c r="BJ33" s="33" t="str">
        <f t="shared" si="1"/>
        <v/>
      </c>
      <c r="BK33" s="33" t="str">
        <f t="shared" si="1"/>
        <v/>
      </c>
      <c r="BL33" s="33" t="str">
        <f t="shared" si="1"/>
        <v/>
      </c>
      <c r="BM33" s="33" t="str">
        <f t="shared" si="1"/>
        <v/>
      </c>
      <c r="BN33" s="33" t="str">
        <f t="shared" si="1"/>
        <v/>
      </c>
      <c r="BO33" s="33" t="str">
        <f t="shared" si="1"/>
        <v/>
      </c>
      <c r="BP33" s="33" t="str">
        <f t="shared" si="1"/>
        <v/>
      </c>
      <c r="BQ33" s="33" t="str">
        <f t="shared" si="1"/>
        <v/>
      </c>
      <c r="BR33" s="33" t="str">
        <f t="shared" si="1"/>
        <v/>
      </c>
      <c r="BS33" s="33" t="str">
        <f t="shared" si="1"/>
        <v/>
      </c>
      <c r="BT33" s="33" t="str">
        <f t="shared" si="1"/>
        <v/>
      </c>
      <c r="BU33" s="34" t="str">
        <f t="shared" si="1"/>
        <v/>
      </c>
    </row>
    <row r="34" spans="1:81" ht="13" customHeight="1" x14ac:dyDescent="0.25">
      <c r="A34" s="58"/>
      <c r="B34" s="71">
        <v>1</v>
      </c>
      <c r="C34" s="72"/>
      <c r="D34" s="72"/>
      <c r="E34" s="72"/>
      <c r="F34" s="72"/>
      <c r="G34" s="72"/>
      <c r="H34" s="72"/>
      <c r="I34" s="72"/>
      <c r="J34" s="72"/>
      <c r="K34" s="72"/>
      <c r="L34" s="72"/>
      <c r="M34" s="72"/>
      <c r="N34" s="72"/>
      <c r="O34" s="72"/>
      <c r="P34" s="72"/>
      <c r="Q34" s="73">
        <v>1</v>
      </c>
      <c r="R34" s="58"/>
      <c r="T34" s="38"/>
      <c r="U34" s="19" t="str">
        <f t="shared" si="2"/>
        <v/>
      </c>
      <c r="V34" s="20" t="str">
        <f t="shared" si="0"/>
        <v/>
      </c>
      <c r="W34" s="20" t="str">
        <f t="shared" si="0"/>
        <v/>
      </c>
      <c r="X34" s="20" t="str">
        <f t="shared" si="0"/>
        <v/>
      </c>
      <c r="Y34" s="20" t="str">
        <f t="shared" si="0"/>
        <v/>
      </c>
      <c r="Z34" s="20" t="str">
        <f t="shared" si="0"/>
        <v/>
      </c>
      <c r="AA34" s="20" t="str">
        <f t="shared" si="0"/>
        <v/>
      </c>
      <c r="AB34" s="20" t="str">
        <f t="shared" si="0"/>
        <v/>
      </c>
      <c r="AC34" s="20" t="str">
        <f t="shared" si="0"/>
        <v/>
      </c>
      <c r="AD34" s="20" t="str">
        <f t="shared" si="0"/>
        <v/>
      </c>
      <c r="AE34" s="20" t="str">
        <f t="shared" si="0"/>
        <v/>
      </c>
      <c r="AF34" s="20" t="str">
        <f t="shared" si="0"/>
        <v/>
      </c>
      <c r="AG34" s="20" t="str">
        <f t="shared" si="0"/>
        <v/>
      </c>
      <c r="AH34" s="20" t="str">
        <f t="shared" si="0"/>
        <v/>
      </c>
      <c r="AI34" s="20" t="str">
        <f t="shared" si="0"/>
        <v/>
      </c>
      <c r="AJ34" s="21" t="str">
        <f t="shared" si="0"/>
        <v/>
      </c>
      <c r="AK34" s="38"/>
      <c r="AN34" s="38">
        <f t="shared" si="5"/>
        <v>128</v>
      </c>
      <c r="AO34" s="38">
        <f>2^AO$24*C34</f>
        <v>0</v>
      </c>
      <c r="AP34" s="38">
        <f>2^AP$24*D34</f>
        <v>0</v>
      </c>
      <c r="AQ34" s="38">
        <f>2^AQ$24*E34</f>
        <v>0</v>
      </c>
      <c r="AR34" s="38">
        <f>2^AR$24*F34</f>
        <v>0</v>
      </c>
      <c r="AS34" s="38">
        <f>2^AS$24*G34</f>
        <v>0</v>
      </c>
      <c r="AT34" s="38">
        <f>2^AT$24*H34</f>
        <v>0</v>
      </c>
      <c r="AU34" s="38">
        <f>2^AU$24*I34</f>
        <v>0</v>
      </c>
      <c r="AV34" s="38">
        <f>2^AV$24*J34</f>
        <v>0</v>
      </c>
      <c r="AW34" s="38">
        <f>2^AW$24*K34</f>
        <v>0</v>
      </c>
      <c r="AX34" s="38">
        <f>2^AX$24*L34</f>
        <v>0</v>
      </c>
      <c r="AY34" s="38">
        <f>2^AY$24*M34</f>
        <v>0</v>
      </c>
      <c r="AZ34" s="38">
        <f>2^AZ$24*N34</f>
        <v>0</v>
      </c>
      <c r="BA34" s="38">
        <f>2^BA$24*O34</f>
        <v>0</v>
      </c>
      <c r="BB34" s="38">
        <f>2^BB$24*P34</f>
        <v>0</v>
      </c>
      <c r="BC34" s="38">
        <f>2^BC$24*Q34</f>
        <v>1</v>
      </c>
      <c r="BD34" s="38" t="str">
        <f t="shared" si="3"/>
        <v>0180</v>
      </c>
      <c r="BF34" s="32" t="str">
        <f t="shared" si="4"/>
        <v/>
      </c>
      <c r="BG34" s="33" t="str">
        <f t="shared" si="1"/>
        <v/>
      </c>
      <c r="BH34" s="33" t="str">
        <f t="shared" si="1"/>
        <v/>
      </c>
      <c r="BI34" s="33" t="str">
        <f t="shared" si="1"/>
        <v/>
      </c>
      <c r="BJ34" s="33" t="str">
        <f t="shared" si="1"/>
        <v/>
      </c>
      <c r="BK34" s="33" t="str">
        <f t="shared" si="1"/>
        <v/>
      </c>
      <c r="BL34" s="33" t="str">
        <f t="shared" si="1"/>
        <v/>
      </c>
      <c r="BM34" s="33" t="str">
        <f t="shared" si="1"/>
        <v/>
      </c>
      <c r="BN34" s="33" t="str">
        <f t="shared" si="1"/>
        <v/>
      </c>
      <c r="BO34" s="33" t="str">
        <f t="shared" si="1"/>
        <v/>
      </c>
      <c r="BP34" s="33" t="str">
        <f t="shared" si="1"/>
        <v/>
      </c>
      <c r="BQ34" s="33" t="str">
        <f t="shared" si="1"/>
        <v/>
      </c>
      <c r="BR34" s="33" t="str">
        <f t="shared" si="1"/>
        <v/>
      </c>
      <c r="BS34" s="33" t="str">
        <f t="shared" si="1"/>
        <v/>
      </c>
      <c r="BT34" s="33" t="str">
        <f t="shared" si="1"/>
        <v/>
      </c>
      <c r="BU34" s="34" t="str">
        <f t="shared" si="1"/>
        <v/>
      </c>
    </row>
    <row r="35" spans="1:81" ht="13" customHeight="1" x14ac:dyDescent="0.25">
      <c r="A35" s="58"/>
      <c r="B35" s="71">
        <v>1</v>
      </c>
      <c r="C35" s="72">
        <v>1</v>
      </c>
      <c r="D35" s="72">
        <v>1</v>
      </c>
      <c r="E35" s="72">
        <v>1</v>
      </c>
      <c r="F35" s="72">
        <v>1</v>
      </c>
      <c r="G35" s="72">
        <v>1</v>
      </c>
      <c r="H35" s="72"/>
      <c r="I35" s="72"/>
      <c r="J35" s="72"/>
      <c r="K35" s="72"/>
      <c r="L35" s="72">
        <v>1</v>
      </c>
      <c r="M35" s="72">
        <v>1</v>
      </c>
      <c r="N35" s="72">
        <v>1</v>
      </c>
      <c r="O35" s="72">
        <v>1</v>
      </c>
      <c r="P35" s="72">
        <v>1</v>
      </c>
      <c r="Q35" s="73">
        <v>1</v>
      </c>
      <c r="R35" s="58"/>
      <c r="T35" s="38"/>
      <c r="U35" s="19" t="str">
        <f t="shared" si="2"/>
        <v/>
      </c>
      <c r="V35" s="20" t="str">
        <f t="shared" si="0"/>
        <v/>
      </c>
      <c r="W35" s="20" t="str">
        <f t="shared" si="0"/>
        <v/>
      </c>
      <c r="X35" s="20" t="str">
        <f t="shared" si="0"/>
        <v/>
      </c>
      <c r="Y35" s="20" t="str">
        <f t="shared" si="0"/>
        <v/>
      </c>
      <c r="Z35" s="20" t="str">
        <f t="shared" si="0"/>
        <v/>
      </c>
      <c r="AA35" s="20" t="str">
        <f t="shared" si="0"/>
        <v/>
      </c>
      <c r="AB35" s="20" t="str">
        <f t="shared" si="0"/>
        <v/>
      </c>
      <c r="AC35" s="20" t="str">
        <f t="shared" si="0"/>
        <v/>
      </c>
      <c r="AD35" s="20" t="str">
        <f t="shared" si="0"/>
        <v/>
      </c>
      <c r="AE35" s="20" t="str">
        <f t="shared" si="0"/>
        <v/>
      </c>
      <c r="AF35" s="20" t="str">
        <f t="shared" si="0"/>
        <v/>
      </c>
      <c r="AG35" s="20" t="str">
        <f t="shared" si="0"/>
        <v/>
      </c>
      <c r="AH35" s="20" t="str">
        <f t="shared" si="0"/>
        <v/>
      </c>
      <c r="AI35" s="20" t="str">
        <f t="shared" si="0"/>
        <v/>
      </c>
      <c r="AJ35" s="21" t="str">
        <f t="shared" si="0"/>
        <v/>
      </c>
      <c r="AK35" s="38"/>
      <c r="AN35" s="38">
        <f t="shared" si="5"/>
        <v>128</v>
      </c>
      <c r="AO35" s="38">
        <f>2^AO$24*C35</f>
        <v>64</v>
      </c>
      <c r="AP35" s="38">
        <f>2^AP$24*D35</f>
        <v>32</v>
      </c>
      <c r="AQ35" s="38">
        <f>2^AQ$24*E35</f>
        <v>16</v>
      </c>
      <c r="AR35" s="38">
        <f>2^AR$24*F35</f>
        <v>8</v>
      </c>
      <c r="AS35" s="38">
        <f>2^AS$24*G35</f>
        <v>4</v>
      </c>
      <c r="AT35" s="38">
        <f>2^AT$24*H35</f>
        <v>0</v>
      </c>
      <c r="AU35" s="38">
        <f>2^AU$24*I35</f>
        <v>0</v>
      </c>
      <c r="AV35" s="38">
        <f>2^AV$24*J35</f>
        <v>0</v>
      </c>
      <c r="AW35" s="38">
        <f>2^AW$24*K35</f>
        <v>0</v>
      </c>
      <c r="AX35" s="38">
        <f>2^AX$24*L35</f>
        <v>32</v>
      </c>
      <c r="AY35" s="38">
        <f>2^AY$24*M35</f>
        <v>16</v>
      </c>
      <c r="AZ35" s="38">
        <f>2^AZ$24*N35</f>
        <v>8</v>
      </c>
      <c r="BA35" s="38">
        <f>2^BA$24*O35</f>
        <v>4</v>
      </c>
      <c r="BB35" s="38">
        <f>2^BB$24*P35</f>
        <v>2</v>
      </c>
      <c r="BC35" s="38">
        <f>2^BC$24*Q35</f>
        <v>1</v>
      </c>
      <c r="BD35" s="38" t="str">
        <f t="shared" si="3"/>
        <v>3FFC</v>
      </c>
      <c r="BF35" s="32" t="str">
        <f t="shared" si="4"/>
        <v/>
      </c>
      <c r="BG35" s="33" t="str">
        <f t="shared" si="1"/>
        <v/>
      </c>
      <c r="BH35" s="33" t="str">
        <f t="shared" si="1"/>
        <v/>
      </c>
      <c r="BI35" s="33" t="str">
        <f t="shared" si="1"/>
        <v/>
      </c>
      <c r="BJ35" s="33" t="str">
        <f t="shared" si="1"/>
        <v/>
      </c>
      <c r="BK35" s="33" t="str">
        <f t="shared" si="1"/>
        <v/>
      </c>
      <c r="BL35" s="33" t="str">
        <f t="shared" si="1"/>
        <v/>
      </c>
      <c r="BM35" s="33" t="str">
        <f t="shared" si="1"/>
        <v/>
      </c>
      <c r="BN35" s="33" t="str">
        <f t="shared" si="1"/>
        <v/>
      </c>
      <c r="BO35" s="33" t="str">
        <f t="shared" si="1"/>
        <v/>
      </c>
      <c r="BP35" s="33" t="str">
        <f t="shared" si="1"/>
        <v/>
      </c>
      <c r="BQ35" s="33" t="str">
        <f t="shared" si="1"/>
        <v/>
      </c>
      <c r="BR35" s="33" t="str">
        <f t="shared" si="1"/>
        <v/>
      </c>
      <c r="BS35" s="33" t="str">
        <f t="shared" si="1"/>
        <v/>
      </c>
      <c r="BT35" s="33" t="str">
        <f t="shared" si="1"/>
        <v/>
      </c>
      <c r="BU35" s="34" t="str">
        <f t="shared" si="1"/>
        <v/>
      </c>
    </row>
    <row r="36" spans="1:81" ht="13" customHeight="1" x14ac:dyDescent="0.25">
      <c r="A36" s="58"/>
      <c r="B36" s="71">
        <v>1</v>
      </c>
      <c r="C36" s="72">
        <v>1</v>
      </c>
      <c r="D36" s="72">
        <v>1</v>
      </c>
      <c r="E36" s="72">
        <v>1</v>
      </c>
      <c r="F36" s="72">
        <v>1</v>
      </c>
      <c r="G36" s="72">
        <v>1</v>
      </c>
      <c r="H36" s="72"/>
      <c r="I36" s="72"/>
      <c r="J36" s="72"/>
      <c r="K36" s="72"/>
      <c r="L36" s="72">
        <v>1</v>
      </c>
      <c r="M36" s="72">
        <v>1</v>
      </c>
      <c r="N36" s="72">
        <v>1</v>
      </c>
      <c r="O36" s="72">
        <v>1</v>
      </c>
      <c r="P36" s="72">
        <v>1</v>
      </c>
      <c r="Q36" s="73">
        <v>1</v>
      </c>
      <c r="R36" s="58"/>
      <c r="T36" s="38"/>
      <c r="U36" s="19" t="str">
        <f t="shared" si="2"/>
        <v/>
      </c>
      <c r="V36" s="20" t="str">
        <f t="shared" si="0"/>
        <v/>
      </c>
      <c r="W36" s="20" t="str">
        <f t="shared" si="0"/>
        <v/>
      </c>
      <c r="X36" s="20" t="str">
        <f t="shared" si="0"/>
        <v/>
      </c>
      <c r="Y36" s="20" t="str">
        <f t="shared" si="0"/>
        <v/>
      </c>
      <c r="Z36" s="20" t="str">
        <f t="shared" si="0"/>
        <v/>
      </c>
      <c r="AA36" s="20" t="str">
        <f t="shared" si="0"/>
        <v/>
      </c>
      <c r="AB36" s="20" t="str">
        <f t="shared" si="0"/>
        <v/>
      </c>
      <c r="AC36" s="20" t="str">
        <f t="shared" si="0"/>
        <v/>
      </c>
      <c r="AD36" s="20" t="str">
        <f t="shared" si="0"/>
        <v/>
      </c>
      <c r="AE36" s="20" t="str">
        <f t="shared" si="0"/>
        <v/>
      </c>
      <c r="AF36" s="20" t="str">
        <f t="shared" si="0"/>
        <v/>
      </c>
      <c r="AG36" s="20" t="str">
        <f t="shared" si="0"/>
        <v/>
      </c>
      <c r="AH36" s="20" t="str">
        <f t="shared" si="0"/>
        <v/>
      </c>
      <c r="AI36" s="20" t="str">
        <f t="shared" si="0"/>
        <v/>
      </c>
      <c r="AJ36" s="21" t="str">
        <f t="shared" si="0"/>
        <v/>
      </c>
      <c r="AK36" s="38"/>
      <c r="AN36" s="38">
        <f t="shared" si="5"/>
        <v>128</v>
      </c>
      <c r="AO36" s="38">
        <f>2^AO$24*C36</f>
        <v>64</v>
      </c>
      <c r="AP36" s="38">
        <f>2^AP$24*D36</f>
        <v>32</v>
      </c>
      <c r="AQ36" s="38">
        <f>2^AQ$24*E36</f>
        <v>16</v>
      </c>
      <c r="AR36" s="38">
        <f>2^AR$24*F36</f>
        <v>8</v>
      </c>
      <c r="AS36" s="38">
        <f>2^AS$24*G36</f>
        <v>4</v>
      </c>
      <c r="AT36" s="38">
        <f>2^AT$24*H36</f>
        <v>0</v>
      </c>
      <c r="AU36" s="38">
        <f>2^AU$24*I36</f>
        <v>0</v>
      </c>
      <c r="AV36" s="38">
        <f>2^AV$24*J36</f>
        <v>0</v>
      </c>
      <c r="AW36" s="38">
        <f>2^AW$24*K36</f>
        <v>0</v>
      </c>
      <c r="AX36" s="38">
        <f>2^AX$24*L36</f>
        <v>32</v>
      </c>
      <c r="AY36" s="38">
        <f>2^AY$24*M36</f>
        <v>16</v>
      </c>
      <c r="AZ36" s="38">
        <f>2^AZ$24*N36</f>
        <v>8</v>
      </c>
      <c r="BA36" s="38">
        <f>2^BA$24*O36</f>
        <v>4</v>
      </c>
      <c r="BB36" s="38">
        <f>2^BB$24*P36</f>
        <v>2</v>
      </c>
      <c r="BC36" s="38">
        <f>2^BC$24*Q36</f>
        <v>1</v>
      </c>
      <c r="BD36" s="38" t="str">
        <f t="shared" si="3"/>
        <v>3FFC</v>
      </c>
      <c r="BF36" s="32" t="str">
        <f t="shared" si="4"/>
        <v/>
      </c>
      <c r="BG36" s="33" t="str">
        <f t="shared" si="1"/>
        <v/>
      </c>
      <c r="BH36" s="33" t="str">
        <f t="shared" si="1"/>
        <v/>
      </c>
      <c r="BI36" s="33" t="str">
        <f t="shared" si="1"/>
        <v/>
      </c>
      <c r="BJ36" s="33" t="str">
        <f t="shared" si="1"/>
        <v/>
      </c>
      <c r="BK36" s="33" t="str">
        <f t="shared" si="1"/>
        <v/>
      </c>
      <c r="BL36" s="33" t="str">
        <f t="shared" si="1"/>
        <v/>
      </c>
      <c r="BM36" s="33" t="str">
        <f t="shared" si="1"/>
        <v/>
      </c>
      <c r="BN36" s="33" t="str">
        <f t="shared" si="1"/>
        <v/>
      </c>
      <c r="BO36" s="33" t="str">
        <f t="shared" si="1"/>
        <v/>
      </c>
      <c r="BP36" s="33" t="str">
        <f t="shared" si="1"/>
        <v/>
      </c>
      <c r="BQ36" s="33" t="str">
        <f t="shared" si="1"/>
        <v/>
      </c>
      <c r="BR36" s="33" t="str">
        <f t="shared" si="1"/>
        <v/>
      </c>
      <c r="BS36" s="33" t="str">
        <f t="shared" si="1"/>
        <v/>
      </c>
      <c r="BT36" s="33" t="str">
        <f t="shared" si="1"/>
        <v/>
      </c>
      <c r="BU36" s="34" t="str">
        <f t="shared" si="1"/>
        <v/>
      </c>
    </row>
    <row r="37" spans="1:81" ht="13" customHeight="1" x14ac:dyDescent="0.25">
      <c r="A37" s="58"/>
      <c r="B37" s="71">
        <v>1</v>
      </c>
      <c r="C37" s="72">
        <v>1</v>
      </c>
      <c r="D37" s="72">
        <v>1</v>
      </c>
      <c r="E37" s="72">
        <v>1</v>
      </c>
      <c r="F37" s="72">
        <v>1</v>
      </c>
      <c r="G37" s="72">
        <v>1</v>
      </c>
      <c r="H37" s="72"/>
      <c r="I37" s="72"/>
      <c r="J37" s="72"/>
      <c r="K37" s="72"/>
      <c r="L37" s="72">
        <v>1</v>
      </c>
      <c r="M37" s="72">
        <v>1</v>
      </c>
      <c r="N37" s="72">
        <v>1</v>
      </c>
      <c r="O37" s="72">
        <v>1</v>
      </c>
      <c r="P37" s="72">
        <v>1</v>
      </c>
      <c r="Q37" s="73">
        <v>1</v>
      </c>
      <c r="R37" s="58"/>
      <c r="T37" s="38"/>
      <c r="U37" s="19" t="str">
        <f t="shared" si="2"/>
        <v/>
      </c>
      <c r="V37" s="20" t="str">
        <f t="shared" si="0"/>
        <v/>
      </c>
      <c r="W37" s="20" t="str">
        <f t="shared" si="0"/>
        <v/>
      </c>
      <c r="X37" s="20" t="str">
        <f t="shared" si="0"/>
        <v/>
      </c>
      <c r="Y37" s="20" t="str">
        <f t="shared" si="0"/>
        <v/>
      </c>
      <c r="Z37" s="20" t="str">
        <f t="shared" si="0"/>
        <v/>
      </c>
      <c r="AA37" s="20" t="str">
        <f t="shared" si="0"/>
        <v/>
      </c>
      <c r="AB37" s="20" t="str">
        <f t="shared" si="0"/>
        <v/>
      </c>
      <c r="AC37" s="20" t="str">
        <f t="shared" si="0"/>
        <v/>
      </c>
      <c r="AD37" s="20" t="str">
        <f t="shared" si="0"/>
        <v/>
      </c>
      <c r="AE37" s="20" t="str">
        <f t="shared" si="0"/>
        <v/>
      </c>
      <c r="AF37" s="20" t="str">
        <f t="shared" si="0"/>
        <v/>
      </c>
      <c r="AG37" s="20" t="str">
        <f t="shared" si="0"/>
        <v/>
      </c>
      <c r="AH37" s="20" t="str">
        <f t="shared" si="0"/>
        <v/>
      </c>
      <c r="AI37" s="20" t="str">
        <f t="shared" si="0"/>
        <v/>
      </c>
      <c r="AJ37" s="21" t="str">
        <f t="shared" si="0"/>
        <v/>
      </c>
      <c r="AK37" s="38"/>
      <c r="AN37" s="38">
        <f t="shared" si="5"/>
        <v>128</v>
      </c>
      <c r="AO37" s="38">
        <f>2^AO$24*C37</f>
        <v>64</v>
      </c>
      <c r="AP37" s="38">
        <f>2^AP$24*D37</f>
        <v>32</v>
      </c>
      <c r="AQ37" s="38">
        <f>2^AQ$24*E37</f>
        <v>16</v>
      </c>
      <c r="AR37" s="38">
        <f>2^AR$24*F37</f>
        <v>8</v>
      </c>
      <c r="AS37" s="38">
        <f>2^AS$24*G37</f>
        <v>4</v>
      </c>
      <c r="AT37" s="38">
        <f>2^AT$24*H37</f>
        <v>0</v>
      </c>
      <c r="AU37" s="38">
        <f>2^AU$24*I37</f>
        <v>0</v>
      </c>
      <c r="AV37" s="38">
        <f>2^AV$24*J37</f>
        <v>0</v>
      </c>
      <c r="AW37" s="38">
        <f>2^AW$24*K37</f>
        <v>0</v>
      </c>
      <c r="AX37" s="38">
        <f>2^AX$24*L37</f>
        <v>32</v>
      </c>
      <c r="AY37" s="38">
        <f>2^AY$24*M37</f>
        <v>16</v>
      </c>
      <c r="AZ37" s="38">
        <f>2^AZ$24*N37</f>
        <v>8</v>
      </c>
      <c r="BA37" s="38">
        <f>2^BA$24*O37</f>
        <v>4</v>
      </c>
      <c r="BB37" s="38">
        <f>2^BB$24*P37</f>
        <v>2</v>
      </c>
      <c r="BC37" s="38">
        <f>2^BC$24*Q37</f>
        <v>1</v>
      </c>
      <c r="BD37" s="38" t="str">
        <f t="shared" si="3"/>
        <v>3FFC</v>
      </c>
      <c r="BF37" s="32" t="str">
        <f t="shared" si="4"/>
        <v/>
      </c>
      <c r="BG37" s="33" t="str">
        <f t="shared" si="1"/>
        <v/>
      </c>
      <c r="BH37" s="33" t="str">
        <f t="shared" si="1"/>
        <v/>
      </c>
      <c r="BI37" s="33" t="str">
        <f t="shared" si="1"/>
        <v/>
      </c>
      <c r="BJ37" s="33" t="str">
        <f t="shared" si="1"/>
        <v/>
      </c>
      <c r="BK37" s="33" t="str">
        <f t="shared" si="1"/>
        <v/>
      </c>
      <c r="BL37" s="33" t="str">
        <f t="shared" si="1"/>
        <v/>
      </c>
      <c r="BM37" s="33" t="str">
        <f t="shared" si="1"/>
        <v/>
      </c>
      <c r="BN37" s="33" t="str">
        <f t="shared" si="1"/>
        <v/>
      </c>
      <c r="BO37" s="33" t="str">
        <f t="shared" si="1"/>
        <v/>
      </c>
      <c r="BP37" s="33" t="str">
        <f t="shared" si="1"/>
        <v/>
      </c>
      <c r="BQ37" s="33" t="str">
        <f t="shared" si="1"/>
        <v/>
      </c>
      <c r="BR37" s="33" t="str">
        <f t="shared" si="1"/>
        <v/>
      </c>
      <c r="BS37" s="33" t="str">
        <f t="shared" si="1"/>
        <v/>
      </c>
      <c r="BT37" s="33" t="str">
        <f t="shared" si="1"/>
        <v/>
      </c>
      <c r="BU37" s="34" t="str">
        <f t="shared" si="1"/>
        <v/>
      </c>
    </row>
    <row r="38" spans="1:81" ht="13" customHeight="1" x14ac:dyDescent="0.25">
      <c r="A38" s="58"/>
      <c r="B38" s="71">
        <v>1</v>
      </c>
      <c r="C38" s="72">
        <v>1</v>
      </c>
      <c r="D38" s="72">
        <v>1</v>
      </c>
      <c r="E38" s="72">
        <v>1</v>
      </c>
      <c r="F38" s="72">
        <v>1</v>
      </c>
      <c r="G38" s="72">
        <v>1</v>
      </c>
      <c r="H38" s="72"/>
      <c r="I38" s="72"/>
      <c r="J38" s="72"/>
      <c r="K38" s="72"/>
      <c r="L38" s="72">
        <v>1</v>
      </c>
      <c r="M38" s="72">
        <v>1</v>
      </c>
      <c r="N38" s="72">
        <v>1</v>
      </c>
      <c r="O38" s="72">
        <v>1</v>
      </c>
      <c r="P38" s="72">
        <v>1</v>
      </c>
      <c r="Q38" s="73">
        <v>1</v>
      </c>
      <c r="R38" s="58"/>
      <c r="T38" s="38"/>
      <c r="U38" s="19" t="str">
        <f t="shared" si="2"/>
        <v/>
      </c>
      <c r="V38" s="20" t="str">
        <f t="shared" si="0"/>
        <v/>
      </c>
      <c r="W38" s="20" t="str">
        <f t="shared" si="0"/>
        <v/>
      </c>
      <c r="X38" s="20" t="str">
        <f t="shared" si="0"/>
        <v/>
      </c>
      <c r="Y38" s="20" t="str">
        <f t="shared" si="0"/>
        <v/>
      </c>
      <c r="Z38" s="20" t="str">
        <f t="shared" si="0"/>
        <v/>
      </c>
      <c r="AA38" s="20" t="str">
        <f t="shared" si="0"/>
        <v/>
      </c>
      <c r="AB38" s="20" t="str">
        <f t="shared" si="0"/>
        <v/>
      </c>
      <c r="AC38" s="20" t="str">
        <f t="shared" si="0"/>
        <v/>
      </c>
      <c r="AD38" s="20" t="str">
        <f t="shared" si="0"/>
        <v/>
      </c>
      <c r="AE38" s="20" t="str">
        <f t="shared" si="0"/>
        <v/>
      </c>
      <c r="AF38" s="20" t="str">
        <f t="shared" si="0"/>
        <v/>
      </c>
      <c r="AG38" s="20" t="str">
        <f t="shared" si="0"/>
        <v/>
      </c>
      <c r="AH38" s="20" t="str">
        <f t="shared" si="0"/>
        <v/>
      </c>
      <c r="AI38" s="20" t="str">
        <f t="shared" si="0"/>
        <v/>
      </c>
      <c r="AJ38" s="21" t="str">
        <f t="shared" si="0"/>
        <v/>
      </c>
      <c r="AK38" s="38"/>
      <c r="AN38" s="38">
        <f t="shared" si="5"/>
        <v>128</v>
      </c>
      <c r="AO38" s="38">
        <f>2^AO$24*C38</f>
        <v>64</v>
      </c>
      <c r="AP38" s="38">
        <f>2^AP$24*D38</f>
        <v>32</v>
      </c>
      <c r="AQ38" s="38">
        <f>2^AQ$24*E38</f>
        <v>16</v>
      </c>
      <c r="AR38" s="38">
        <f>2^AR$24*F38</f>
        <v>8</v>
      </c>
      <c r="AS38" s="38">
        <f>2^AS$24*G38</f>
        <v>4</v>
      </c>
      <c r="AT38" s="38">
        <f>2^AT$24*H38</f>
        <v>0</v>
      </c>
      <c r="AU38" s="38">
        <f>2^AU$24*I38</f>
        <v>0</v>
      </c>
      <c r="AV38" s="38">
        <f>2^AV$24*J38</f>
        <v>0</v>
      </c>
      <c r="AW38" s="38">
        <f>2^AW$24*K38</f>
        <v>0</v>
      </c>
      <c r="AX38" s="38">
        <f>2^AX$24*L38</f>
        <v>32</v>
      </c>
      <c r="AY38" s="38">
        <f>2^AY$24*M38</f>
        <v>16</v>
      </c>
      <c r="AZ38" s="38">
        <f>2^AZ$24*N38</f>
        <v>8</v>
      </c>
      <c r="BA38" s="38">
        <f>2^BA$24*O38</f>
        <v>4</v>
      </c>
      <c r="BB38" s="38">
        <f>2^BB$24*P38</f>
        <v>2</v>
      </c>
      <c r="BC38" s="38">
        <f>2^BC$24*Q38</f>
        <v>1</v>
      </c>
      <c r="BD38" s="38" t="str">
        <f t="shared" si="3"/>
        <v>3FFC</v>
      </c>
      <c r="BF38" s="32" t="str">
        <f t="shared" si="4"/>
        <v/>
      </c>
      <c r="BG38" s="33" t="str">
        <f t="shared" si="1"/>
        <v/>
      </c>
      <c r="BH38" s="33" t="str">
        <f t="shared" si="1"/>
        <v/>
      </c>
      <c r="BI38" s="33" t="str">
        <f t="shared" si="1"/>
        <v/>
      </c>
      <c r="BJ38" s="33" t="str">
        <f t="shared" si="1"/>
        <v/>
      </c>
      <c r="BK38" s="33" t="str">
        <f t="shared" si="1"/>
        <v/>
      </c>
      <c r="BL38" s="33" t="str">
        <f t="shared" si="1"/>
        <v/>
      </c>
      <c r="BM38" s="33" t="str">
        <f t="shared" si="1"/>
        <v/>
      </c>
      <c r="BN38" s="33" t="str">
        <f t="shared" si="1"/>
        <v/>
      </c>
      <c r="BO38" s="33" t="str">
        <f t="shared" si="1"/>
        <v/>
      </c>
      <c r="BP38" s="33" t="str">
        <f t="shared" si="1"/>
        <v/>
      </c>
      <c r="BQ38" s="33" t="str">
        <f t="shared" si="1"/>
        <v/>
      </c>
      <c r="BR38" s="33" t="str">
        <f t="shared" si="1"/>
        <v/>
      </c>
      <c r="BS38" s="33" t="str">
        <f t="shared" si="1"/>
        <v/>
      </c>
      <c r="BT38" s="33" t="str">
        <f t="shared" si="1"/>
        <v/>
      </c>
      <c r="BU38" s="34" t="str">
        <f t="shared" si="1"/>
        <v/>
      </c>
    </row>
    <row r="39" spans="1:81" ht="13" customHeight="1" x14ac:dyDescent="0.25">
      <c r="A39" s="58"/>
      <c r="B39" s="71">
        <v>1</v>
      </c>
      <c r="C39" s="72">
        <v>1</v>
      </c>
      <c r="D39" s="72">
        <v>1</v>
      </c>
      <c r="E39" s="72">
        <v>1</v>
      </c>
      <c r="F39" s="72">
        <v>1</v>
      </c>
      <c r="G39" s="72">
        <v>1</v>
      </c>
      <c r="H39" s="72"/>
      <c r="I39" s="72"/>
      <c r="J39" s="72"/>
      <c r="K39" s="72"/>
      <c r="L39" s="72">
        <v>1</v>
      </c>
      <c r="M39" s="72">
        <v>1</v>
      </c>
      <c r="N39" s="72">
        <v>1</v>
      </c>
      <c r="O39" s="72">
        <v>1</v>
      </c>
      <c r="P39" s="72">
        <v>1</v>
      </c>
      <c r="Q39" s="73">
        <v>1</v>
      </c>
      <c r="R39" s="58"/>
      <c r="T39" s="38"/>
      <c r="U39" s="19" t="str">
        <f t="shared" si="2"/>
        <v/>
      </c>
      <c r="V39" s="20" t="str">
        <f t="shared" si="0"/>
        <v/>
      </c>
      <c r="W39" s="20" t="str">
        <f t="shared" si="0"/>
        <v/>
      </c>
      <c r="X39" s="20" t="str">
        <f t="shared" si="0"/>
        <v/>
      </c>
      <c r="Y39" s="20" t="str">
        <f t="shared" si="0"/>
        <v/>
      </c>
      <c r="Z39" s="20" t="str">
        <f t="shared" si="0"/>
        <v/>
      </c>
      <c r="AA39" s="20" t="str">
        <f t="shared" si="0"/>
        <v/>
      </c>
      <c r="AB39" s="20" t="str">
        <f t="shared" si="0"/>
        <v/>
      </c>
      <c r="AC39" s="20" t="str">
        <f t="shared" si="0"/>
        <v/>
      </c>
      <c r="AD39" s="20" t="str">
        <f t="shared" si="0"/>
        <v/>
      </c>
      <c r="AE39" s="20" t="str">
        <f t="shared" si="0"/>
        <v/>
      </c>
      <c r="AF39" s="20" t="str">
        <f t="shared" si="0"/>
        <v/>
      </c>
      <c r="AG39" s="20" t="str">
        <f t="shared" si="0"/>
        <v/>
      </c>
      <c r="AH39" s="20" t="str">
        <f t="shared" si="0"/>
        <v/>
      </c>
      <c r="AI39" s="20" t="str">
        <f t="shared" si="0"/>
        <v/>
      </c>
      <c r="AJ39" s="21" t="str">
        <f t="shared" si="0"/>
        <v/>
      </c>
      <c r="AK39" s="38"/>
      <c r="AN39" s="38">
        <f t="shared" si="5"/>
        <v>128</v>
      </c>
      <c r="AO39" s="38">
        <f>2^AO$24*C39</f>
        <v>64</v>
      </c>
      <c r="AP39" s="38">
        <f>2^AP$24*D39</f>
        <v>32</v>
      </c>
      <c r="AQ39" s="38">
        <f>2^AQ$24*E39</f>
        <v>16</v>
      </c>
      <c r="AR39" s="38">
        <f>2^AR$24*F39</f>
        <v>8</v>
      </c>
      <c r="AS39" s="38">
        <f>2^AS$24*G39</f>
        <v>4</v>
      </c>
      <c r="AT39" s="38">
        <f>2^AT$24*H39</f>
        <v>0</v>
      </c>
      <c r="AU39" s="38">
        <f>2^AU$24*I39</f>
        <v>0</v>
      </c>
      <c r="AV39" s="38">
        <f>2^AV$24*J39</f>
        <v>0</v>
      </c>
      <c r="AW39" s="38">
        <f>2^AW$24*K39</f>
        <v>0</v>
      </c>
      <c r="AX39" s="38">
        <f>2^AX$24*L39</f>
        <v>32</v>
      </c>
      <c r="AY39" s="38">
        <f>2^AY$24*M39</f>
        <v>16</v>
      </c>
      <c r="AZ39" s="38">
        <f>2^AZ$24*N39</f>
        <v>8</v>
      </c>
      <c r="BA39" s="38">
        <f>2^BA$24*O39</f>
        <v>4</v>
      </c>
      <c r="BB39" s="38">
        <f>2^BB$24*P39</f>
        <v>2</v>
      </c>
      <c r="BC39" s="38">
        <f>2^BC$24*Q39</f>
        <v>1</v>
      </c>
      <c r="BD39" s="38" t="str">
        <f t="shared" si="3"/>
        <v>3FFC</v>
      </c>
      <c r="BF39" s="32" t="str">
        <f t="shared" si="4"/>
        <v/>
      </c>
      <c r="BG39" s="33" t="str">
        <f t="shared" si="1"/>
        <v/>
      </c>
      <c r="BH39" s="33" t="str">
        <f t="shared" si="1"/>
        <v/>
      </c>
      <c r="BI39" s="33" t="str">
        <f t="shared" si="1"/>
        <v/>
      </c>
      <c r="BJ39" s="33" t="str">
        <f t="shared" si="1"/>
        <v/>
      </c>
      <c r="BK39" s="33" t="str">
        <f t="shared" si="1"/>
        <v/>
      </c>
      <c r="BL39" s="33" t="str">
        <f t="shared" si="1"/>
        <v/>
      </c>
      <c r="BM39" s="33" t="str">
        <f t="shared" si="1"/>
        <v/>
      </c>
      <c r="BN39" s="33" t="str">
        <f t="shared" si="1"/>
        <v/>
      </c>
      <c r="BO39" s="33" t="str">
        <f t="shared" si="1"/>
        <v/>
      </c>
      <c r="BP39" s="33" t="str">
        <f t="shared" si="1"/>
        <v/>
      </c>
      <c r="BQ39" s="33" t="str">
        <f t="shared" si="1"/>
        <v/>
      </c>
      <c r="BR39" s="33" t="str">
        <f t="shared" si="1"/>
        <v/>
      </c>
      <c r="BS39" s="33" t="str">
        <f t="shared" si="1"/>
        <v/>
      </c>
      <c r="BT39" s="33" t="str">
        <f t="shared" si="1"/>
        <v/>
      </c>
      <c r="BU39" s="34" t="str">
        <f t="shared" si="1"/>
        <v/>
      </c>
    </row>
    <row r="40" spans="1:81" ht="13" customHeight="1" x14ac:dyDescent="0.25">
      <c r="A40" s="58"/>
      <c r="B40" s="74">
        <v>1</v>
      </c>
      <c r="C40" s="75">
        <v>1</v>
      </c>
      <c r="D40" s="75">
        <v>1</v>
      </c>
      <c r="E40" s="75">
        <v>1</v>
      </c>
      <c r="F40" s="75">
        <v>1</v>
      </c>
      <c r="G40" s="75">
        <v>1</v>
      </c>
      <c r="H40" s="75">
        <v>1</v>
      </c>
      <c r="I40" s="75"/>
      <c r="J40" s="75"/>
      <c r="K40" s="75">
        <v>1</v>
      </c>
      <c r="L40" s="75">
        <v>1</v>
      </c>
      <c r="M40" s="75">
        <v>1</v>
      </c>
      <c r="N40" s="75">
        <v>1</v>
      </c>
      <c r="O40" s="75">
        <v>1</v>
      </c>
      <c r="P40" s="75">
        <v>1</v>
      </c>
      <c r="Q40" s="76">
        <v>1</v>
      </c>
      <c r="R40" s="58"/>
      <c r="T40" s="38"/>
      <c r="U40" s="23" t="str">
        <f t="shared" si="2"/>
        <v/>
      </c>
      <c r="V40" s="24" t="str">
        <f t="shared" si="0"/>
        <v/>
      </c>
      <c r="W40" s="24" t="str">
        <f t="shared" si="0"/>
        <v/>
      </c>
      <c r="X40" s="24" t="str">
        <f t="shared" si="0"/>
        <v/>
      </c>
      <c r="Y40" s="24" t="str">
        <f t="shared" si="0"/>
        <v/>
      </c>
      <c r="Z40" s="24" t="str">
        <f t="shared" si="0"/>
        <v/>
      </c>
      <c r="AA40" s="24" t="str">
        <f t="shared" si="0"/>
        <v/>
      </c>
      <c r="AB40" s="24" t="str">
        <f t="shared" si="0"/>
        <v/>
      </c>
      <c r="AC40" s="24" t="str">
        <f t="shared" si="0"/>
        <v/>
      </c>
      <c r="AD40" s="24" t="str">
        <f t="shared" si="0"/>
        <v/>
      </c>
      <c r="AE40" s="24" t="str">
        <f t="shared" si="0"/>
        <v/>
      </c>
      <c r="AF40" s="24" t="str">
        <f t="shared" si="0"/>
        <v/>
      </c>
      <c r="AG40" s="24" t="str">
        <f t="shared" si="0"/>
        <v/>
      </c>
      <c r="AH40" s="24" t="str">
        <f t="shared" si="0"/>
        <v/>
      </c>
      <c r="AI40" s="24" t="str">
        <f t="shared" si="0"/>
        <v/>
      </c>
      <c r="AJ40" s="25" t="str">
        <f t="shared" si="0"/>
        <v/>
      </c>
      <c r="AK40" s="38"/>
      <c r="AN40" s="38">
        <f t="shared" si="5"/>
        <v>128</v>
      </c>
      <c r="AO40" s="38">
        <f>2^AO$24*C40</f>
        <v>64</v>
      </c>
      <c r="AP40" s="38">
        <f>2^AP$24*D40</f>
        <v>32</v>
      </c>
      <c r="AQ40" s="38">
        <f>2^AQ$24*E40</f>
        <v>16</v>
      </c>
      <c r="AR40" s="38">
        <f>2^AR$24*F40</f>
        <v>8</v>
      </c>
      <c r="AS40" s="38">
        <f>2^AS$24*G40</f>
        <v>4</v>
      </c>
      <c r="AT40" s="38">
        <f>2^AT$24*H40</f>
        <v>2</v>
      </c>
      <c r="AU40" s="38">
        <f>2^AU$24*I40</f>
        <v>0</v>
      </c>
      <c r="AV40" s="38">
        <f>2^AV$24*J40</f>
        <v>0</v>
      </c>
      <c r="AW40" s="38">
        <f>2^AW$24*K40</f>
        <v>64</v>
      </c>
      <c r="AX40" s="38">
        <f>2^AX$24*L40</f>
        <v>32</v>
      </c>
      <c r="AY40" s="38">
        <f>2^AY$24*M40</f>
        <v>16</v>
      </c>
      <c r="AZ40" s="38">
        <f>2^AZ$24*N40</f>
        <v>8</v>
      </c>
      <c r="BA40" s="38">
        <f>2^BA$24*O40</f>
        <v>4</v>
      </c>
      <c r="BB40" s="38">
        <f>2^BB$24*P40</f>
        <v>2</v>
      </c>
      <c r="BC40" s="38">
        <f>2^BC$24*Q40</f>
        <v>1</v>
      </c>
      <c r="BD40" s="38" t="str">
        <f t="shared" si="3"/>
        <v>7FFE</v>
      </c>
      <c r="BF40" s="35" t="str">
        <f t="shared" si="4"/>
        <v/>
      </c>
      <c r="BG40" s="36" t="str">
        <f t="shared" si="1"/>
        <v/>
      </c>
      <c r="BH40" s="36" t="str">
        <f t="shared" si="1"/>
        <v/>
      </c>
      <c r="BI40" s="36" t="str">
        <f t="shared" si="1"/>
        <v/>
      </c>
      <c r="BJ40" s="36" t="str">
        <f t="shared" si="1"/>
        <v/>
      </c>
      <c r="BK40" s="36" t="str">
        <f t="shared" si="1"/>
        <v/>
      </c>
      <c r="BL40" s="36" t="str">
        <f t="shared" si="1"/>
        <v/>
      </c>
      <c r="BM40" s="36" t="str">
        <f t="shared" si="1"/>
        <v/>
      </c>
      <c r="BN40" s="36" t="str">
        <f t="shared" si="1"/>
        <v/>
      </c>
      <c r="BO40" s="36" t="str">
        <f t="shared" si="1"/>
        <v/>
      </c>
      <c r="BP40" s="36" t="str">
        <f t="shared" si="1"/>
        <v/>
      </c>
      <c r="BQ40" s="36" t="str">
        <f t="shared" si="1"/>
        <v/>
      </c>
      <c r="BR40" s="36" t="str">
        <f t="shared" si="1"/>
        <v/>
      </c>
      <c r="BS40" s="36" t="str">
        <f t="shared" si="1"/>
        <v/>
      </c>
      <c r="BT40" s="36" t="str">
        <f t="shared" si="1"/>
        <v/>
      </c>
      <c r="BU40" s="37" t="str">
        <f t="shared" si="1"/>
        <v/>
      </c>
    </row>
    <row r="41" spans="1:81" ht="13" customHeight="1" x14ac:dyDescent="0.25">
      <c r="A41" s="58"/>
      <c r="B41" s="58"/>
      <c r="C41" s="58"/>
      <c r="D41" s="58"/>
      <c r="E41" s="58"/>
      <c r="F41" s="58"/>
      <c r="G41" s="58"/>
      <c r="H41" s="58"/>
      <c r="I41" s="58"/>
      <c r="J41" s="58"/>
      <c r="K41" s="58"/>
      <c r="L41" s="58"/>
      <c r="M41" s="58"/>
      <c r="N41" s="58"/>
      <c r="O41" s="58"/>
      <c r="P41" s="58"/>
      <c r="Q41" s="58"/>
      <c r="R41" s="58"/>
      <c r="T41" s="38"/>
      <c r="U41" s="38"/>
      <c r="V41" s="38"/>
      <c r="W41" s="38"/>
      <c r="X41" s="38"/>
      <c r="Y41" s="38"/>
      <c r="Z41" s="38"/>
      <c r="AA41" s="38"/>
      <c r="AB41" s="38"/>
      <c r="AC41" s="38"/>
      <c r="AD41" s="38"/>
      <c r="AE41" s="38"/>
      <c r="AF41" s="38"/>
      <c r="AG41" s="38"/>
      <c r="AH41" s="38"/>
      <c r="AI41" s="38"/>
      <c r="AJ41" s="38"/>
      <c r="AK41" s="38"/>
    </row>
    <row r="42" spans="1:81" ht="13" customHeight="1" x14ac:dyDescent="0.25">
      <c r="A42" s="58"/>
      <c r="B42" s="58"/>
      <c r="C42" s="58"/>
      <c r="D42" s="58"/>
      <c r="E42" s="58"/>
      <c r="F42" s="58"/>
      <c r="G42" s="58"/>
      <c r="H42" s="58"/>
      <c r="I42" s="58"/>
      <c r="J42" s="58"/>
      <c r="K42" s="58"/>
      <c r="L42" s="58"/>
      <c r="M42" s="58"/>
      <c r="N42" s="58"/>
      <c r="O42" s="58"/>
      <c r="P42" s="58"/>
      <c r="Q42" s="58"/>
      <c r="R42" s="58"/>
    </row>
    <row r="43" spans="1:81" ht="13" customHeight="1" x14ac:dyDescent="0.25">
      <c r="A43" s="58"/>
      <c r="B43" s="63" t="s">
        <v>1</v>
      </c>
      <c r="C43" s="58"/>
      <c r="D43" s="58"/>
      <c r="E43" s="58"/>
      <c r="F43" s="58"/>
      <c r="G43" s="58"/>
      <c r="H43" s="58"/>
      <c r="I43" s="58"/>
      <c r="J43" s="58"/>
      <c r="K43" s="58"/>
      <c r="L43" s="58"/>
      <c r="M43" s="58"/>
      <c r="N43" s="58"/>
      <c r="O43" s="58"/>
      <c r="P43" s="58"/>
      <c r="Q43" s="58"/>
      <c r="R43" s="58"/>
    </row>
    <row r="44" spans="1:81" ht="13" customHeight="1" x14ac:dyDescent="0.25">
      <c r="A44" s="58"/>
      <c r="B44" s="68"/>
      <c r="C44" s="69"/>
      <c r="D44" s="69"/>
      <c r="E44" s="69"/>
      <c r="F44" s="69"/>
      <c r="G44" s="69"/>
      <c r="H44" s="69"/>
      <c r="I44" s="69"/>
      <c r="J44" s="69"/>
      <c r="K44" s="69"/>
      <c r="L44" s="69"/>
      <c r="M44" s="69"/>
      <c r="N44" s="69"/>
      <c r="O44" s="69"/>
      <c r="P44" s="69"/>
      <c r="Q44" s="70"/>
      <c r="R44" s="58"/>
      <c r="AN44" s="38">
        <f>2^AN$24*B44</f>
        <v>0</v>
      </c>
      <c r="AO44" s="38">
        <f>2^AO$24*C44</f>
        <v>0</v>
      </c>
      <c r="AP44" s="38">
        <f>2^AP$24*D44</f>
        <v>0</v>
      </c>
      <c r="AQ44" s="38">
        <f>2^AQ$24*E44</f>
        <v>0</v>
      </c>
      <c r="AR44" s="38">
        <f>2^AR$24*F44</f>
        <v>0</v>
      </c>
      <c r="AS44" s="38">
        <f>2^AS$24*G44</f>
        <v>0</v>
      </c>
      <c r="AT44" s="38">
        <f>2^AT$24*H44</f>
        <v>0</v>
      </c>
      <c r="AU44" s="38">
        <f>2^AU$24*I44</f>
        <v>0</v>
      </c>
      <c r="AV44" s="38">
        <f>2^AV$24*J44</f>
        <v>0</v>
      </c>
      <c r="AW44" s="38">
        <f>2^AW$24*K44</f>
        <v>0</v>
      </c>
      <c r="AX44" s="38">
        <f>2^AX$24*L44</f>
        <v>0</v>
      </c>
      <c r="AY44" s="38">
        <f>2^AY$24*M44</f>
        <v>0</v>
      </c>
      <c r="AZ44" s="38">
        <f>2^AZ$24*N44</f>
        <v>0</v>
      </c>
      <c r="BA44" s="38">
        <f>2^BA$24*O44</f>
        <v>0</v>
      </c>
      <c r="BB44" s="38">
        <f>2^BB$24*P44</f>
        <v>0</v>
      </c>
      <c r="BC44" s="38">
        <f>2^BC$24*Q44</f>
        <v>0</v>
      </c>
      <c r="BD44" s="38" t="str">
        <f>DEC2HEX(256 * SUM(AV44:BC44) + SUM(AN44:AU44), 4)</f>
        <v>0000</v>
      </c>
      <c r="CC44" s="22"/>
    </row>
    <row r="45" spans="1:81" ht="13" customHeight="1" x14ac:dyDescent="0.25">
      <c r="A45" s="58"/>
      <c r="B45" s="71"/>
      <c r="C45" s="72"/>
      <c r="D45" s="72"/>
      <c r="E45" s="72"/>
      <c r="F45" s="72"/>
      <c r="G45" s="72"/>
      <c r="H45" s="72"/>
      <c r="I45" s="72">
        <v>1</v>
      </c>
      <c r="J45" s="72">
        <v>1</v>
      </c>
      <c r="K45" s="72"/>
      <c r="L45" s="72"/>
      <c r="M45" s="72"/>
      <c r="N45" s="72"/>
      <c r="O45" s="72"/>
      <c r="P45" s="72"/>
      <c r="Q45" s="73"/>
      <c r="R45" s="58"/>
      <c r="AN45" s="38">
        <f>2^AN$24*B45</f>
        <v>0</v>
      </c>
      <c r="AO45" s="38">
        <f>2^AO$24*C45</f>
        <v>0</v>
      </c>
      <c r="AP45" s="38">
        <f>2^AP$24*D45</f>
        <v>0</v>
      </c>
      <c r="AQ45" s="38">
        <f>2^AQ$24*E45</f>
        <v>0</v>
      </c>
      <c r="AR45" s="38">
        <f>2^AR$24*F45</f>
        <v>0</v>
      </c>
      <c r="AS45" s="38">
        <f>2^AS$24*G45</f>
        <v>0</v>
      </c>
      <c r="AT45" s="38">
        <f>2^AT$24*H45</f>
        <v>0</v>
      </c>
      <c r="AU45" s="38">
        <f>2^AU$24*I45</f>
        <v>1</v>
      </c>
      <c r="AV45" s="38">
        <f>2^AV$24*J45</f>
        <v>128</v>
      </c>
      <c r="AW45" s="38">
        <f>2^AW$24*K45</f>
        <v>0</v>
      </c>
      <c r="AX45" s="38">
        <f>2^AX$24*L45</f>
        <v>0</v>
      </c>
      <c r="AY45" s="38">
        <f>2^AY$24*M45</f>
        <v>0</v>
      </c>
      <c r="AZ45" s="38">
        <f>2^AZ$24*N45</f>
        <v>0</v>
      </c>
      <c r="BA45" s="38">
        <f>2^BA$24*O45</f>
        <v>0</v>
      </c>
      <c r="BB45" s="38">
        <f>2^BB$24*P45</f>
        <v>0</v>
      </c>
      <c r="BC45" s="38">
        <f>2^BC$24*Q45</f>
        <v>0</v>
      </c>
      <c r="BD45" s="38" t="str">
        <f t="shared" ref="BD45:BD59" si="6">DEC2HEX(256 * SUM(AV45:BC45) + SUM(AN45:AU45), 4)</f>
        <v>8001</v>
      </c>
    </row>
    <row r="46" spans="1:81" ht="13" customHeight="1" x14ac:dyDescent="0.25">
      <c r="A46" s="58"/>
      <c r="B46" s="71"/>
      <c r="C46" s="72"/>
      <c r="D46" s="72"/>
      <c r="E46" s="72"/>
      <c r="F46" s="72"/>
      <c r="G46" s="72"/>
      <c r="H46" s="72"/>
      <c r="I46" s="72">
        <v>1</v>
      </c>
      <c r="J46" s="72">
        <v>1</v>
      </c>
      <c r="K46" s="72"/>
      <c r="L46" s="72"/>
      <c r="M46" s="72"/>
      <c r="N46" s="72"/>
      <c r="O46" s="72"/>
      <c r="P46" s="72"/>
      <c r="Q46" s="73"/>
      <c r="R46" s="58"/>
      <c r="AN46" s="38">
        <f>2^AN$24*B46</f>
        <v>0</v>
      </c>
      <c r="AO46" s="38">
        <f>2^AO$24*C46</f>
        <v>0</v>
      </c>
      <c r="AP46" s="38">
        <f>2^AP$24*D46</f>
        <v>0</v>
      </c>
      <c r="AQ46" s="38">
        <f>2^AQ$24*E46</f>
        <v>0</v>
      </c>
      <c r="AR46" s="38">
        <f>2^AR$24*F46</f>
        <v>0</v>
      </c>
      <c r="AS46" s="38">
        <f>2^AS$24*G46</f>
        <v>0</v>
      </c>
      <c r="AT46" s="38">
        <f>2^AT$24*H46</f>
        <v>0</v>
      </c>
      <c r="AU46" s="38">
        <f>2^AU$24*I46</f>
        <v>1</v>
      </c>
      <c r="AV46" s="38">
        <f>2^AV$24*J46</f>
        <v>128</v>
      </c>
      <c r="AW46" s="38">
        <f>2^AW$24*K46</f>
        <v>0</v>
      </c>
      <c r="AX46" s="38">
        <f>2^AX$24*L46</f>
        <v>0</v>
      </c>
      <c r="AY46" s="38">
        <f>2^AY$24*M46</f>
        <v>0</v>
      </c>
      <c r="AZ46" s="38">
        <f>2^AZ$24*N46</f>
        <v>0</v>
      </c>
      <c r="BA46" s="38">
        <f>2^BA$24*O46</f>
        <v>0</v>
      </c>
      <c r="BB46" s="38">
        <f>2^BB$24*P46</f>
        <v>0</v>
      </c>
      <c r="BC46" s="38">
        <f>2^BC$24*Q46</f>
        <v>0</v>
      </c>
      <c r="BD46" s="38" t="str">
        <f t="shared" si="6"/>
        <v>8001</v>
      </c>
    </row>
    <row r="47" spans="1:81" ht="13" customHeight="1" x14ac:dyDescent="0.25">
      <c r="A47" s="58"/>
      <c r="B47" s="71"/>
      <c r="C47" s="72"/>
      <c r="D47" s="72"/>
      <c r="E47" s="72"/>
      <c r="F47" s="72"/>
      <c r="G47" s="72"/>
      <c r="H47" s="72"/>
      <c r="I47" s="72">
        <v>1</v>
      </c>
      <c r="J47" s="72">
        <v>1</v>
      </c>
      <c r="K47" s="72"/>
      <c r="L47" s="72"/>
      <c r="M47" s="72"/>
      <c r="N47" s="72"/>
      <c r="O47" s="72"/>
      <c r="P47" s="72"/>
      <c r="Q47" s="73"/>
      <c r="R47" s="58"/>
      <c r="AN47" s="38">
        <f>2^AN$24*B47</f>
        <v>0</v>
      </c>
      <c r="AO47" s="38">
        <f>2^AO$24*C47</f>
        <v>0</v>
      </c>
      <c r="AP47" s="38">
        <f>2^AP$24*D47</f>
        <v>0</v>
      </c>
      <c r="AQ47" s="38">
        <f>2^AQ$24*E47</f>
        <v>0</v>
      </c>
      <c r="AR47" s="38">
        <f>2^AR$24*F47</f>
        <v>0</v>
      </c>
      <c r="AS47" s="38">
        <f>2^AS$24*G47</f>
        <v>0</v>
      </c>
      <c r="AT47" s="38">
        <f>2^AT$24*H47</f>
        <v>0</v>
      </c>
      <c r="AU47" s="38">
        <f>2^AU$24*I47</f>
        <v>1</v>
      </c>
      <c r="AV47" s="38">
        <f>2^AV$24*J47</f>
        <v>128</v>
      </c>
      <c r="AW47" s="38">
        <f>2^AW$24*K47</f>
        <v>0</v>
      </c>
      <c r="AX47" s="38">
        <f>2^AX$24*L47</f>
        <v>0</v>
      </c>
      <c r="AY47" s="38">
        <f>2^AY$24*M47</f>
        <v>0</v>
      </c>
      <c r="AZ47" s="38">
        <f>2^AZ$24*N47</f>
        <v>0</v>
      </c>
      <c r="BA47" s="38">
        <f>2^BA$24*O47</f>
        <v>0</v>
      </c>
      <c r="BB47" s="38">
        <f>2^BB$24*P47</f>
        <v>0</v>
      </c>
      <c r="BC47" s="38">
        <f>2^BC$24*Q47</f>
        <v>0</v>
      </c>
      <c r="BD47" s="38" t="str">
        <f t="shared" si="6"/>
        <v>8001</v>
      </c>
    </row>
    <row r="48" spans="1:81" ht="13" customHeight="1" x14ac:dyDescent="0.25">
      <c r="A48" s="58"/>
      <c r="B48" s="71"/>
      <c r="C48" s="72"/>
      <c r="D48" s="72"/>
      <c r="E48" s="72"/>
      <c r="F48" s="72"/>
      <c r="G48" s="72"/>
      <c r="H48" s="72"/>
      <c r="I48" s="72">
        <v>1</v>
      </c>
      <c r="J48" s="72">
        <v>1</v>
      </c>
      <c r="K48" s="72"/>
      <c r="L48" s="72"/>
      <c r="M48" s="72"/>
      <c r="N48" s="72"/>
      <c r="O48" s="72"/>
      <c r="P48" s="72"/>
      <c r="Q48" s="73"/>
      <c r="R48" s="58"/>
      <c r="AN48" s="38">
        <f>2^AN$24*B48</f>
        <v>0</v>
      </c>
      <c r="AO48" s="38">
        <f>2^AO$24*C48</f>
        <v>0</v>
      </c>
      <c r="AP48" s="38">
        <f>2^AP$24*D48</f>
        <v>0</v>
      </c>
      <c r="AQ48" s="38">
        <f>2^AQ$24*E48</f>
        <v>0</v>
      </c>
      <c r="AR48" s="38">
        <f>2^AR$24*F48</f>
        <v>0</v>
      </c>
      <c r="AS48" s="38">
        <f>2^AS$24*G48</f>
        <v>0</v>
      </c>
      <c r="AT48" s="38">
        <f>2^AT$24*H48</f>
        <v>0</v>
      </c>
      <c r="AU48" s="38">
        <f>2^AU$24*I48</f>
        <v>1</v>
      </c>
      <c r="AV48" s="38">
        <f>2^AV$24*J48</f>
        <v>128</v>
      </c>
      <c r="AW48" s="38">
        <f>2^AW$24*K48</f>
        <v>0</v>
      </c>
      <c r="AX48" s="38">
        <f>2^AX$24*L48</f>
        <v>0</v>
      </c>
      <c r="AY48" s="38">
        <f>2^AY$24*M48</f>
        <v>0</v>
      </c>
      <c r="AZ48" s="38">
        <f>2^AZ$24*N48</f>
        <v>0</v>
      </c>
      <c r="BA48" s="38">
        <f>2^BA$24*O48</f>
        <v>0</v>
      </c>
      <c r="BB48" s="38">
        <f>2^BB$24*P48</f>
        <v>0</v>
      </c>
      <c r="BC48" s="38">
        <f>2^BC$24*Q48</f>
        <v>0</v>
      </c>
      <c r="BD48" s="38" t="str">
        <f t="shared" si="6"/>
        <v>8001</v>
      </c>
    </row>
    <row r="49" spans="1:56" ht="13" customHeight="1" x14ac:dyDescent="0.25">
      <c r="A49" s="58"/>
      <c r="B49" s="71"/>
      <c r="C49" s="72"/>
      <c r="D49" s="72"/>
      <c r="E49" s="72"/>
      <c r="F49" s="72"/>
      <c r="G49" s="72"/>
      <c r="H49" s="72"/>
      <c r="I49" s="72">
        <v>1</v>
      </c>
      <c r="J49" s="72">
        <v>1</v>
      </c>
      <c r="K49" s="72"/>
      <c r="L49" s="72"/>
      <c r="M49" s="72"/>
      <c r="N49" s="72"/>
      <c r="O49" s="72"/>
      <c r="P49" s="72"/>
      <c r="Q49" s="73"/>
      <c r="R49" s="58"/>
      <c r="AN49" s="38">
        <f>2^AN$24*B49</f>
        <v>0</v>
      </c>
      <c r="AO49" s="38">
        <f>2^AO$24*C49</f>
        <v>0</v>
      </c>
      <c r="AP49" s="38">
        <f>2^AP$24*D49</f>
        <v>0</v>
      </c>
      <c r="AQ49" s="38">
        <f>2^AQ$24*E49</f>
        <v>0</v>
      </c>
      <c r="AR49" s="38">
        <f>2^AR$24*F49</f>
        <v>0</v>
      </c>
      <c r="AS49" s="38">
        <f>2^AS$24*G49</f>
        <v>0</v>
      </c>
      <c r="AT49" s="38">
        <f>2^AT$24*H49</f>
        <v>0</v>
      </c>
      <c r="AU49" s="38">
        <f>2^AU$24*I49</f>
        <v>1</v>
      </c>
      <c r="AV49" s="38">
        <f>2^AV$24*J49</f>
        <v>128</v>
      </c>
      <c r="AW49" s="38">
        <f>2^AW$24*K49</f>
        <v>0</v>
      </c>
      <c r="AX49" s="38">
        <f>2^AX$24*L49</f>
        <v>0</v>
      </c>
      <c r="AY49" s="38">
        <f>2^AY$24*M49</f>
        <v>0</v>
      </c>
      <c r="AZ49" s="38">
        <f>2^AZ$24*N49</f>
        <v>0</v>
      </c>
      <c r="BA49" s="38">
        <f>2^BA$24*O49</f>
        <v>0</v>
      </c>
      <c r="BB49" s="38">
        <f>2^BB$24*P49</f>
        <v>0</v>
      </c>
      <c r="BC49" s="38">
        <f>2^BC$24*Q49</f>
        <v>0</v>
      </c>
      <c r="BD49" s="38" t="str">
        <f t="shared" si="6"/>
        <v>8001</v>
      </c>
    </row>
    <row r="50" spans="1:56" ht="13" customHeight="1" x14ac:dyDescent="0.25">
      <c r="A50" s="58"/>
      <c r="B50" s="71"/>
      <c r="C50" s="72"/>
      <c r="D50" s="72"/>
      <c r="E50" s="72"/>
      <c r="F50" s="72"/>
      <c r="G50" s="72"/>
      <c r="H50" s="72"/>
      <c r="I50" s="72">
        <v>1</v>
      </c>
      <c r="J50" s="72">
        <v>1</v>
      </c>
      <c r="K50" s="72"/>
      <c r="L50" s="72"/>
      <c r="M50" s="72"/>
      <c r="N50" s="72"/>
      <c r="O50" s="72"/>
      <c r="P50" s="72"/>
      <c r="Q50" s="73"/>
      <c r="R50" s="58"/>
      <c r="AN50" s="38">
        <f>2^AN$24*B50</f>
        <v>0</v>
      </c>
      <c r="AO50" s="38">
        <f>2^AO$24*C50</f>
        <v>0</v>
      </c>
      <c r="AP50" s="38">
        <f>2^AP$24*D50</f>
        <v>0</v>
      </c>
      <c r="AQ50" s="38">
        <f>2^AQ$24*E50</f>
        <v>0</v>
      </c>
      <c r="AR50" s="38">
        <f>2^AR$24*F50</f>
        <v>0</v>
      </c>
      <c r="AS50" s="38">
        <f>2^AS$24*G50</f>
        <v>0</v>
      </c>
      <c r="AT50" s="38">
        <f>2^AT$24*H50</f>
        <v>0</v>
      </c>
      <c r="AU50" s="38">
        <f>2^AU$24*I50</f>
        <v>1</v>
      </c>
      <c r="AV50" s="38">
        <f>2^AV$24*J50</f>
        <v>128</v>
      </c>
      <c r="AW50" s="38">
        <f>2^AW$24*K50</f>
        <v>0</v>
      </c>
      <c r="AX50" s="38">
        <f>2^AX$24*L50</f>
        <v>0</v>
      </c>
      <c r="AY50" s="38">
        <f>2^AY$24*M50</f>
        <v>0</v>
      </c>
      <c r="AZ50" s="38">
        <f>2^AZ$24*N50</f>
        <v>0</v>
      </c>
      <c r="BA50" s="38">
        <f>2^BA$24*O50</f>
        <v>0</v>
      </c>
      <c r="BB50" s="38">
        <f>2^BB$24*P50</f>
        <v>0</v>
      </c>
      <c r="BC50" s="38">
        <f>2^BC$24*Q50</f>
        <v>0</v>
      </c>
      <c r="BD50" s="38" t="str">
        <f t="shared" si="6"/>
        <v>8001</v>
      </c>
    </row>
    <row r="51" spans="1:56" ht="13" customHeight="1" x14ac:dyDescent="0.25">
      <c r="A51" s="58"/>
      <c r="B51" s="71"/>
      <c r="C51" s="72">
        <v>1</v>
      </c>
      <c r="D51" s="72">
        <v>1</v>
      </c>
      <c r="E51" s="72">
        <v>1</v>
      </c>
      <c r="F51" s="72">
        <v>1</v>
      </c>
      <c r="G51" s="72">
        <v>1</v>
      </c>
      <c r="H51" s="72">
        <v>1</v>
      </c>
      <c r="I51" s="72"/>
      <c r="J51" s="72"/>
      <c r="K51" s="72">
        <v>1</v>
      </c>
      <c r="L51" s="72">
        <v>1</v>
      </c>
      <c r="M51" s="72">
        <v>1</v>
      </c>
      <c r="N51" s="72">
        <v>1</v>
      </c>
      <c r="O51" s="72">
        <v>1</v>
      </c>
      <c r="P51" s="72">
        <v>1</v>
      </c>
      <c r="Q51" s="73"/>
      <c r="R51" s="58"/>
      <c r="AN51" s="38">
        <f>2^AN$24*B51</f>
        <v>0</v>
      </c>
      <c r="AO51" s="38">
        <f>2^AO$24*C51</f>
        <v>64</v>
      </c>
      <c r="AP51" s="38">
        <f>2^AP$24*D51</f>
        <v>32</v>
      </c>
      <c r="AQ51" s="38">
        <f>2^AQ$24*E51</f>
        <v>16</v>
      </c>
      <c r="AR51" s="38">
        <f>2^AR$24*F51</f>
        <v>8</v>
      </c>
      <c r="AS51" s="38">
        <f>2^AS$24*G51</f>
        <v>4</v>
      </c>
      <c r="AT51" s="38">
        <f>2^AT$24*H51</f>
        <v>2</v>
      </c>
      <c r="AU51" s="38">
        <f>2^AU$24*I51</f>
        <v>0</v>
      </c>
      <c r="AV51" s="38">
        <f>2^AV$24*J51</f>
        <v>0</v>
      </c>
      <c r="AW51" s="38">
        <f>2^AW$24*K51</f>
        <v>64</v>
      </c>
      <c r="AX51" s="38">
        <f>2^AX$24*L51</f>
        <v>32</v>
      </c>
      <c r="AY51" s="38">
        <f>2^AY$24*M51</f>
        <v>16</v>
      </c>
      <c r="AZ51" s="38">
        <f>2^AZ$24*N51</f>
        <v>8</v>
      </c>
      <c r="BA51" s="38">
        <f>2^BA$24*O51</f>
        <v>4</v>
      </c>
      <c r="BB51" s="38">
        <f>2^BB$24*P51</f>
        <v>2</v>
      </c>
      <c r="BC51" s="38">
        <f>2^BC$24*Q51</f>
        <v>0</v>
      </c>
      <c r="BD51" s="38" t="str">
        <f t="shared" si="6"/>
        <v>7E7E</v>
      </c>
    </row>
    <row r="52" spans="1:56" ht="13" customHeight="1" x14ac:dyDescent="0.25">
      <c r="A52" s="58"/>
      <c r="B52" s="71"/>
      <c r="C52" s="72">
        <v>1</v>
      </c>
      <c r="D52" s="72">
        <v>1</v>
      </c>
      <c r="E52" s="72">
        <v>1</v>
      </c>
      <c r="F52" s="72">
        <v>1</v>
      </c>
      <c r="G52" s="72">
        <v>1</v>
      </c>
      <c r="H52" s="72">
        <v>1</v>
      </c>
      <c r="I52" s="72"/>
      <c r="J52" s="72"/>
      <c r="K52" s="72">
        <v>1</v>
      </c>
      <c r="L52" s="72">
        <v>1</v>
      </c>
      <c r="M52" s="72">
        <v>1</v>
      </c>
      <c r="N52" s="72">
        <v>1</v>
      </c>
      <c r="O52" s="72">
        <v>1</v>
      </c>
      <c r="P52" s="72">
        <v>1</v>
      </c>
      <c r="Q52" s="73"/>
      <c r="R52" s="58"/>
      <c r="AN52" s="38">
        <f>2^AN$24*B52</f>
        <v>0</v>
      </c>
      <c r="AO52" s="38">
        <f>2^AO$24*C52</f>
        <v>64</v>
      </c>
      <c r="AP52" s="38">
        <f>2^AP$24*D52</f>
        <v>32</v>
      </c>
      <c r="AQ52" s="38">
        <f>2^AQ$24*E52</f>
        <v>16</v>
      </c>
      <c r="AR52" s="38">
        <f>2^AR$24*F52</f>
        <v>8</v>
      </c>
      <c r="AS52" s="38">
        <f>2^AS$24*G52</f>
        <v>4</v>
      </c>
      <c r="AT52" s="38">
        <f>2^AT$24*H52</f>
        <v>2</v>
      </c>
      <c r="AU52" s="38">
        <f>2^AU$24*I52</f>
        <v>0</v>
      </c>
      <c r="AV52" s="38">
        <f>2^AV$24*J52</f>
        <v>0</v>
      </c>
      <c r="AW52" s="38">
        <f>2^AW$24*K52</f>
        <v>64</v>
      </c>
      <c r="AX52" s="38">
        <f>2^AX$24*L52</f>
        <v>32</v>
      </c>
      <c r="AY52" s="38">
        <f>2^AY$24*M52</f>
        <v>16</v>
      </c>
      <c r="AZ52" s="38">
        <f>2^AZ$24*N52</f>
        <v>8</v>
      </c>
      <c r="BA52" s="38">
        <f>2^BA$24*O52</f>
        <v>4</v>
      </c>
      <c r="BB52" s="38">
        <f>2^BB$24*P52</f>
        <v>2</v>
      </c>
      <c r="BC52" s="38">
        <f>2^BC$24*Q52</f>
        <v>0</v>
      </c>
      <c r="BD52" s="38" t="str">
        <f t="shared" si="6"/>
        <v>7E7E</v>
      </c>
    </row>
    <row r="53" spans="1:56" ht="13" customHeight="1" x14ac:dyDescent="0.25">
      <c r="A53" s="58"/>
      <c r="B53" s="71"/>
      <c r="C53" s="72"/>
      <c r="D53" s="72"/>
      <c r="E53" s="72"/>
      <c r="F53" s="72"/>
      <c r="G53" s="72"/>
      <c r="H53" s="72"/>
      <c r="I53" s="72">
        <v>1</v>
      </c>
      <c r="J53" s="72">
        <v>1</v>
      </c>
      <c r="K53" s="72"/>
      <c r="L53" s="72"/>
      <c r="M53" s="72"/>
      <c r="N53" s="72"/>
      <c r="O53" s="72"/>
      <c r="P53" s="72"/>
      <c r="Q53" s="73"/>
      <c r="R53" s="58"/>
      <c r="AN53" s="38">
        <f>2^AN$24*B53</f>
        <v>0</v>
      </c>
      <c r="AO53" s="38">
        <f>2^AO$24*C53</f>
        <v>0</v>
      </c>
      <c r="AP53" s="38">
        <f>2^AP$24*D53</f>
        <v>0</v>
      </c>
      <c r="AQ53" s="38">
        <f>2^AQ$24*E53</f>
        <v>0</v>
      </c>
      <c r="AR53" s="38">
        <f>2^AR$24*F53</f>
        <v>0</v>
      </c>
      <c r="AS53" s="38">
        <f>2^AS$24*G53</f>
        <v>0</v>
      </c>
      <c r="AT53" s="38">
        <f>2^AT$24*H53</f>
        <v>0</v>
      </c>
      <c r="AU53" s="38">
        <f>2^AU$24*I53</f>
        <v>1</v>
      </c>
      <c r="AV53" s="38">
        <f>2^AV$24*J53</f>
        <v>128</v>
      </c>
      <c r="AW53" s="38">
        <f>2^AW$24*K53</f>
        <v>0</v>
      </c>
      <c r="AX53" s="38">
        <f>2^AX$24*L53</f>
        <v>0</v>
      </c>
      <c r="AY53" s="38">
        <f>2^AY$24*M53</f>
        <v>0</v>
      </c>
      <c r="AZ53" s="38">
        <f>2^AZ$24*N53</f>
        <v>0</v>
      </c>
      <c r="BA53" s="38">
        <f>2^BA$24*O53</f>
        <v>0</v>
      </c>
      <c r="BB53" s="38">
        <f>2^BB$24*P53</f>
        <v>0</v>
      </c>
      <c r="BC53" s="38">
        <f>2^BC$24*Q53</f>
        <v>0</v>
      </c>
      <c r="BD53" s="38" t="str">
        <f t="shared" si="6"/>
        <v>8001</v>
      </c>
    </row>
    <row r="54" spans="1:56" ht="13" customHeight="1" x14ac:dyDescent="0.25">
      <c r="A54" s="58"/>
      <c r="B54" s="71"/>
      <c r="C54" s="72"/>
      <c r="D54" s="72"/>
      <c r="E54" s="72"/>
      <c r="F54" s="72"/>
      <c r="G54" s="72"/>
      <c r="H54" s="72"/>
      <c r="I54" s="72">
        <v>1</v>
      </c>
      <c r="J54" s="72">
        <v>1</v>
      </c>
      <c r="K54" s="72"/>
      <c r="L54" s="72"/>
      <c r="M54" s="72"/>
      <c r="N54" s="72"/>
      <c r="O54" s="72"/>
      <c r="P54" s="72"/>
      <c r="Q54" s="73"/>
      <c r="R54" s="58"/>
      <c r="AN54" s="38">
        <f>2^AN$24*B54</f>
        <v>0</v>
      </c>
      <c r="AO54" s="38">
        <f>2^AO$24*C54</f>
        <v>0</v>
      </c>
      <c r="AP54" s="38">
        <f>2^AP$24*D54</f>
        <v>0</v>
      </c>
      <c r="AQ54" s="38">
        <f>2^AQ$24*E54</f>
        <v>0</v>
      </c>
      <c r="AR54" s="38">
        <f>2^AR$24*F54</f>
        <v>0</v>
      </c>
      <c r="AS54" s="38">
        <f>2^AS$24*G54</f>
        <v>0</v>
      </c>
      <c r="AT54" s="38">
        <f>2^AT$24*H54</f>
        <v>0</v>
      </c>
      <c r="AU54" s="38">
        <f>2^AU$24*I54</f>
        <v>1</v>
      </c>
      <c r="AV54" s="38">
        <f>2^AV$24*J54</f>
        <v>128</v>
      </c>
      <c r="AW54" s="38">
        <f>2^AW$24*K54</f>
        <v>0</v>
      </c>
      <c r="AX54" s="38">
        <f>2^AX$24*L54</f>
        <v>0</v>
      </c>
      <c r="AY54" s="38">
        <f>2^AY$24*M54</f>
        <v>0</v>
      </c>
      <c r="AZ54" s="38">
        <f>2^AZ$24*N54</f>
        <v>0</v>
      </c>
      <c r="BA54" s="38">
        <f>2^BA$24*O54</f>
        <v>0</v>
      </c>
      <c r="BB54" s="38">
        <f>2^BB$24*P54</f>
        <v>0</v>
      </c>
      <c r="BC54" s="38">
        <f>2^BC$24*Q54</f>
        <v>0</v>
      </c>
      <c r="BD54" s="38" t="str">
        <f t="shared" si="6"/>
        <v>8001</v>
      </c>
    </row>
    <row r="55" spans="1:56" ht="13" customHeight="1" x14ac:dyDescent="0.25">
      <c r="A55" s="58"/>
      <c r="B55" s="71"/>
      <c r="C55" s="72"/>
      <c r="D55" s="72"/>
      <c r="E55" s="72"/>
      <c r="F55" s="72"/>
      <c r="G55" s="72"/>
      <c r="H55" s="72"/>
      <c r="I55" s="72">
        <v>1</v>
      </c>
      <c r="J55" s="72">
        <v>1</v>
      </c>
      <c r="K55" s="72"/>
      <c r="L55" s="72"/>
      <c r="M55" s="72"/>
      <c r="N55" s="72"/>
      <c r="O55" s="72"/>
      <c r="P55" s="72"/>
      <c r="Q55" s="73"/>
      <c r="R55" s="58"/>
      <c r="AN55" s="38">
        <f>2^AN$24*B55</f>
        <v>0</v>
      </c>
      <c r="AO55" s="38">
        <f>2^AO$24*C55</f>
        <v>0</v>
      </c>
      <c r="AP55" s="38">
        <f>2^AP$24*D55</f>
        <v>0</v>
      </c>
      <c r="AQ55" s="38">
        <f>2^AQ$24*E55</f>
        <v>0</v>
      </c>
      <c r="AR55" s="38">
        <f>2^AR$24*F55</f>
        <v>0</v>
      </c>
      <c r="AS55" s="38">
        <f>2^AS$24*G55</f>
        <v>0</v>
      </c>
      <c r="AT55" s="38">
        <f>2^AT$24*H55</f>
        <v>0</v>
      </c>
      <c r="AU55" s="38">
        <f>2^AU$24*I55</f>
        <v>1</v>
      </c>
      <c r="AV55" s="38">
        <f>2^AV$24*J55</f>
        <v>128</v>
      </c>
      <c r="AW55" s="38">
        <f>2^AW$24*K55</f>
        <v>0</v>
      </c>
      <c r="AX55" s="38">
        <f>2^AX$24*L55</f>
        <v>0</v>
      </c>
      <c r="AY55" s="38">
        <f>2^AY$24*M55</f>
        <v>0</v>
      </c>
      <c r="AZ55" s="38">
        <f>2^AZ$24*N55</f>
        <v>0</v>
      </c>
      <c r="BA55" s="38">
        <f>2^BA$24*O55</f>
        <v>0</v>
      </c>
      <c r="BB55" s="38">
        <f>2^BB$24*P55</f>
        <v>0</v>
      </c>
      <c r="BC55" s="38">
        <f>2^BC$24*Q55</f>
        <v>0</v>
      </c>
      <c r="BD55" s="38" t="str">
        <f t="shared" si="6"/>
        <v>8001</v>
      </c>
    </row>
    <row r="56" spans="1:56" ht="13" customHeight="1" x14ac:dyDescent="0.25">
      <c r="A56" s="58"/>
      <c r="B56" s="71"/>
      <c r="C56" s="72"/>
      <c r="D56" s="72"/>
      <c r="E56" s="72"/>
      <c r="F56" s="72"/>
      <c r="G56" s="72"/>
      <c r="H56" s="72"/>
      <c r="I56" s="72">
        <v>1</v>
      </c>
      <c r="J56" s="72">
        <v>1</v>
      </c>
      <c r="K56" s="72"/>
      <c r="L56" s="72"/>
      <c r="M56" s="72"/>
      <c r="N56" s="72"/>
      <c r="O56" s="72"/>
      <c r="P56" s="72"/>
      <c r="Q56" s="73"/>
      <c r="R56" s="58"/>
      <c r="AN56" s="38">
        <f>2^AN$24*B56</f>
        <v>0</v>
      </c>
      <c r="AO56" s="38">
        <f>2^AO$24*C56</f>
        <v>0</v>
      </c>
      <c r="AP56" s="38">
        <f>2^AP$24*D56</f>
        <v>0</v>
      </c>
      <c r="AQ56" s="38">
        <f>2^AQ$24*E56</f>
        <v>0</v>
      </c>
      <c r="AR56" s="38">
        <f>2^AR$24*F56</f>
        <v>0</v>
      </c>
      <c r="AS56" s="38">
        <f>2^AS$24*G56</f>
        <v>0</v>
      </c>
      <c r="AT56" s="38">
        <f>2^AT$24*H56</f>
        <v>0</v>
      </c>
      <c r="AU56" s="38">
        <f>2^AU$24*I56</f>
        <v>1</v>
      </c>
      <c r="AV56" s="38">
        <f>2^AV$24*J56</f>
        <v>128</v>
      </c>
      <c r="AW56" s="38">
        <f>2^AW$24*K56</f>
        <v>0</v>
      </c>
      <c r="AX56" s="38">
        <f>2^AX$24*L56</f>
        <v>0</v>
      </c>
      <c r="AY56" s="38">
        <f>2^AY$24*M56</f>
        <v>0</v>
      </c>
      <c r="AZ56" s="38">
        <f>2^AZ$24*N56</f>
        <v>0</v>
      </c>
      <c r="BA56" s="38">
        <f>2^BA$24*O56</f>
        <v>0</v>
      </c>
      <c r="BB56" s="38">
        <f>2^BB$24*P56</f>
        <v>0</v>
      </c>
      <c r="BC56" s="38">
        <f>2^BC$24*Q56</f>
        <v>0</v>
      </c>
      <c r="BD56" s="38" t="str">
        <f t="shared" si="6"/>
        <v>8001</v>
      </c>
    </row>
    <row r="57" spans="1:56" ht="13" customHeight="1" x14ac:dyDescent="0.25">
      <c r="A57" s="58"/>
      <c r="B57" s="71"/>
      <c r="C57" s="72"/>
      <c r="D57" s="72"/>
      <c r="E57" s="72"/>
      <c r="F57" s="72"/>
      <c r="G57" s="72"/>
      <c r="H57" s="72"/>
      <c r="I57" s="72">
        <v>1</v>
      </c>
      <c r="J57" s="72">
        <v>1</v>
      </c>
      <c r="K57" s="72"/>
      <c r="L57" s="72"/>
      <c r="M57" s="72"/>
      <c r="N57" s="72"/>
      <c r="O57" s="72"/>
      <c r="P57" s="72"/>
      <c r="Q57" s="73"/>
      <c r="R57" s="58"/>
      <c r="AN57" s="38">
        <f>2^AN$24*B57</f>
        <v>0</v>
      </c>
      <c r="AO57" s="38">
        <f>2^AO$24*C57</f>
        <v>0</v>
      </c>
      <c r="AP57" s="38">
        <f>2^AP$24*D57</f>
        <v>0</v>
      </c>
      <c r="AQ57" s="38">
        <f>2^AQ$24*E57</f>
        <v>0</v>
      </c>
      <c r="AR57" s="38">
        <f>2^AR$24*F57</f>
        <v>0</v>
      </c>
      <c r="AS57" s="38">
        <f>2^AS$24*G57</f>
        <v>0</v>
      </c>
      <c r="AT57" s="38">
        <f>2^AT$24*H57</f>
        <v>0</v>
      </c>
      <c r="AU57" s="38">
        <f>2^AU$24*I57</f>
        <v>1</v>
      </c>
      <c r="AV57" s="38">
        <f>2^AV$24*J57</f>
        <v>128</v>
      </c>
      <c r="AW57" s="38">
        <f>2^AW$24*K57</f>
        <v>0</v>
      </c>
      <c r="AX57" s="38">
        <f>2^AX$24*L57</f>
        <v>0</v>
      </c>
      <c r="AY57" s="38">
        <f>2^AY$24*M57</f>
        <v>0</v>
      </c>
      <c r="AZ57" s="38">
        <f>2^AZ$24*N57</f>
        <v>0</v>
      </c>
      <c r="BA57" s="38">
        <f>2^BA$24*O57</f>
        <v>0</v>
      </c>
      <c r="BB57" s="38">
        <f>2^BB$24*P57</f>
        <v>0</v>
      </c>
      <c r="BC57" s="38">
        <f>2^BC$24*Q57</f>
        <v>0</v>
      </c>
      <c r="BD57" s="38" t="str">
        <f t="shared" si="6"/>
        <v>8001</v>
      </c>
    </row>
    <row r="58" spans="1:56" ht="13" customHeight="1" x14ac:dyDescent="0.25">
      <c r="A58" s="58"/>
      <c r="B58" s="71"/>
      <c r="C58" s="72"/>
      <c r="D58" s="72"/>
      <c r="E58" s="72"/>
      <c r="F58" s="72"/>
      <c r="G58" s="72"/>
      <c r="H58" s="72"/>
      <c r="I58" s="72">
        <v>1</v>
      </c>
      <c r="J58" s="72">
        <v>1</v>
      </c>
      <c r="K58" s="72"/>
      <c r="L58" s="72"/>
      <c r="M58" s="72"/>
      <c r="N58" s="72"/>
      <c r="O58" s="72"/>
      <c r="P58" s="72"/>
      <c r="Q58" s="73"/>
      <c r="R58" s="58"/>
      <c r="AN58" s="38">
        <f>2^AN$24*B58</f>
        <v>0</v>
      </c>
      <c r="AO58" s="38">
        <f>2^AO$24*C58</f>
        <v>0</v>
      </c>
      <c r="AP58" s="38">
        <f>2^AP$24*D58</f>
        <v>0</v>
      </c>
      <c r="AQ58" s="38">
        <f>2^AQ$24*E58</f>
        <v>0</v>
      </c>
      <c r="AR58" s="38">
        <f>2^AR$24*F58</f>
        <v>0</v>
      </c>
      <c r="AS58" s="38">
        <f>2^AS$24*G58</f>
        <v>0</v>
      </c>
      <c r="AT58" s="38">
        <f>2^AT$24*H58</f>
        <v>0</v>
      </c>
      <c r="AU58" s="38">
        <f>2^AU$24*I58</f>
        <v>1</v>
      </c>
      <c r="AV58" s="38">
        <f>2^AV$24*J58</f>
        <v>128</v>
      </c>
      <c r="AW58" s="38">
        <f>2^AW$24*K58</f>
        <v>0</v>
      </c>
      <c r="AX58" s="38">
        <f>2^AX$24*L58</f>
        <v>0</v>
      </c>
      <c r="AY58" s="38">
        <f>2^AY$24*M58</f>
        <v>0</v>
      </c>
      <c r="AZ58" s="38">
        <f>2^AZ$24*N58</f>
        <v>0</v>
      </c>
      <c r="BA58" s="38">
        <f>2^BA$24*O58</f>
        <v>0</v>
      </c>
      <c r="BB58" s="38">
        <f>2^BB$24*P58</f>
        <v>0</v>
      </c>
      <c r="BC58" s="38">
        <f>2^BC$24*Q58</f>
        <v>0</v>
      </c>
      <c r="BD58" s="38" t="str">
        <f t="shared" si="6"/>
        <v>8001</v>
      </c>
    </row>
    <row r="59" spans="1:56" ht="13" customHeight="1" x14ac:dyDescent="0.25">
      <c r="A59" s="58"/>
      <c r="B59" s="74"/>
      <c r="C59" s="75"/>
      <c r="D59" s="75"/>
      <c r="E59" s="75"/>
      <c r="F59" s="75"/>
      <c r="G59" s="75"/>
      <c r="H59" s="75"/>
      <c r="I59" s="75"/>
      <c r="J59" s="75"/>
      <c r="K59" s="75"/>
      <c r="L59" s="75"/>
      <c r="M59" s="75"/>
      <c r="N59" s="75"/>
      <c r="O59" s="75"/>
      <c r="P59" s="75"/>
      <c r="Q59" s="76"/>
      <c r="R59" s="58"/>
      <c r="AN59" s="38">
        <f>2^AN$24*B59</f>
        <v>0</v>
      </c>
      <c r="AO59" s="38">
        <f>2^AO$24*C59</f>
        <v>0</v>
      </c>
      <c r="AP59" s="38">
        <f>2^AP$24*D59</f>
        <v>0</v>
      </c>
      <c r="AQ59" s="38">
        <f>2^AQ$24*E59</f>
        <v>0</v>
      </c>
      <c r="AR59" s="38">
        <f>2^AR$24*F59</f>
        <v>0</v>
      </c>
      <c r="AS59" s="38">
        <f>2^AS$24*G59</f>
        <v>0</v>
      </c>
      <c r="AT59" s="38">
        <f>2^AT$24*H59</f>
        <v>0</v>
      </c>
      <c r="AU59" s="38">
        <f>2^AU$24*I59</f>
        <v>0</v>
      </c>
      <c r="AV59" s="38">
        <f>2^AV$24*J59</f>
        <v>0</v>
      </c>
      <c r="AW59" s="38">
        <f>2^AW$24*K59</f>
        <v>0</v>
      </c>
      <c r="AX59" s="38">
        <f>2^AX$24*L59</f>
        <v>0</v>
      </c>
      <c r="AY59" s="38">
        <f>2^AY$24*M59</f>
        <v>0</v>
      </c>
      <c r="AZ59" s="38">
        <f>2^AZ$24*N59</f>
        <v>0</v>
      </c>
      <c r="BA59" s="38">
        <f>2^BA$24*O59</f>
        <v>0</v>
      </c>
      <c r="BB59" s="38">
        <f>2^BB$24*P59</f>
        <v>0</v>
      </c>
      <c r="BC59" s="38">
        <f>2^BC$24*Q59</f>
        <v>0</v>
      </c>
      <c r="BD59" s="38" t="str">
        <f t="shared" si="6"/>
        <v>0000</v>
      </c>
    </row>
    <row r="60" spans="1:56" ht="13" customHeight="1" x14ac:dyDescent="0.25">
      <c r="A60" s="58"/>
      <c r="B60" s="58"/>
      <c r="C60" s="58"/>
      <c r="D60" s="58"/>
      <c r="E60" s="58"/>
      <c r="F60" s="58"/>
      <c r="G60" s="58"/>
      <c r="H60" s="58"/>
      <c r="I60" s="58"/>
      <c r="J60" s="58"/>
      <c r="K60" s="58"/>
      <c r="L60" s="58"/>
      <c r="M60" s="58"/>
      <c r="N60" s="58"/>
      <c r="O60" s="58"/>
      <c r="P60" s="58"/>
      <c r="Q60" s="58"/>
      <c r="R60" s="58"/>
    </row>
  </sheetData>
  <sheetProtection sheet="1" objects="1" scenarios="1"/>
  <dataConsolidate/>
  <mergeCells count="19">
    <mergeCell ref="H8:K8"/>
    <mergeCell ref="H9:K9"/>
    <mergeCell ref="H10:K10"/>
    <mergeCell ref="H11:K11"/>
    <mergeCell ref="H12:K12"/>
    <mergeCell ref="D8:G8"/>
    <mergeCell ref="D9:G9"/>
    <mergeCell ref="D10:G10"/>
    <mergeCell ref="D11:G11"/>
    <mergeCell ref="B21:C21"/>
    <mergeCell ref="B22:C22"/>
    <mergeCell ref="U23:AJ23"/>
    <mergeCell ref="AN23:BB23"/>
    <mergeCell ref="BF23:BU23"/>
    <mergeCell ref="J21:O21"/>
    <mergeCell ref="D12:G12"/>
    <mergeCell ref="A1:AL1"/>
    <mergeCell ref="A3:AL3"/>
    <mergeCell ref="A4:AL4"/>
  </mergeCells>
  <conditionalFormatting sqref="U25:AJ40">
    <cfRule type="expression" dxfId="11" priority="55">
      <formula>AND(B25=1, B44=1)</formula>
    </cfRule>
    <cfRule type="expression" dxfId="10" priority="56">
      <formula>AND(B25=0, B44=0)</formula>
    </cfRule>
    <cfRule type="expression" dxfId="9" priority="57">
      <formula>AND(B25=0, B44=1)</formula>
    </cfRule>
  </conditionalFormatting>
  <conditionalFormatting sqref="BF25:BU40">
    <cfRule type="expression" dxfId="8" priority="1">
      <formula>AND(B25=1, B44=1)</formula>
    </cfRule>
    <cfRule type="expression" dxfId="7" priority="2">
      <formula>AND(B25=0, B44=0)</formula>
    </cfRule>
    <cfRule type="expression" dxfId="6" priority="3">
      <formula>AND(B25=0, B44=1)</formula>
    </cfRule>
  </conditionalFormatting>
  <pageMargins left="0.7" right="0.7" top="0.75" bottom="0.75" header="0.3" footer="0.3"/>
  <pageSetup orientation="portrait"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EEA47-C324-4D9E-8A5C-577EA67D318F}">
  <dimension ref="A1:EQ66"/>
  <sheetViews>
    <sheetView showGridLines="0" topLeftCell="A11" zoomScaleNormal="100" workbookViewId="0">
      <selection activeCell="D29" sqref="D29"/>
    </sheetView>
  </sheetViews>
  <sheetFormatPr defaultColWidth="9" defaultRowHeight="12.5" x14ac:dyDescent="0.25"/>
  <cols>
    <col min="1" max="40" width="2.36328125" style="1" customWidth="1"/>
    <col min="41" max="56" width="1.1796875" style="1" customWidth="1"/>
    <col min="57" max="142" width="2.36328125" style="1" customWidth="1"/>
    <col min="143" max="144" width="6.6328125" style="1" customWidth="1"/>
    <col min="145" max="16384" width="9" style="1"/>
  </cols>
  <sheetData>
    <row r="1" spans="1:38" ht="25" x14ac:dyDescent="0.5">
      <c r="A1" s="55" t="s">
        <v>17</v>
      </c>
      <c r="B1" s="55"/>
      <c r="C1" s="55"/>
      <c r="D1" s="55"/>
      <c r="E1" s="55"/>
      <c r="F1" s="55"/>
      <c r="G1" s="55"/>
      <c r="H1" s="55"/>
      <c r="I1" s="55"/>
      <c r="J1" s="55"/>
      <c r="K1" s="55"/>
      <c r="L1" s="55"/>
      <c r="M1" s="55"/>
      <c r="N1" s="55"/>
      <c r="O1" s="55"/>
      <c r="P1" s="55"/>
      <c r="Q1" s="55"/>
      <c r="R1" s="55"/>
      <c r="S1" s="55"/>
      <c r="T1" s="55"/>
      <c r="U1" s="55"/>
      <c r="V1" s="55"/>
      <c r="W1" s="55"/>
      <c r="X1" s="55"/>
      <c r="Y1" s="55"/>
      <c r="Z1" s="55"/>
      <c r="AA1" s="55"/>
      <c r="AB1" s="55"/>
      <c r="AC1" s="55"/>
      <c r="AD1" s="55"/>
      <c r="AE1" s="55"/>
      <c r="AF1" s="55"/>
      <c r="AG1" s="55"/>
      <c r="AH1" s="55"/>
      <c r="AI1" s="55"/>
      <c r="AJ1" s="55"/>
      <c r="AK1" s="55"/>
    </row>
    <row r="3" spans="1:38" ht="27" customHeight="1" x14ac:dyDescent="0.25">
      <c r="A3" s="2" t="s">
        <v>11</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row>
    <row r="4" spans="1:38" s="4" customFormat="1" x14ac:dyDescent="0.2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row>
    <row r="5" spans="1:38" s="4" customFormat="1" ht="41" customHeight="1" x14ac:dyDescent="0.25">
      <c r="A5" s="5" t="s">
        <v>10</v>
      </c>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27"/>
    </row>
    <row r="6" spans="1:38" s="4" customFormat="1" x14ac:dyDescent="0.25">
      <c r="A6" s="6"/>
    </row>
    <row r="7" spans="1:38" s="4" customFormat="1" x14ac:dyDescent="0.25">
      <c r="A7" s="7" t="s">
        <v>12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row>
    <row r="8" spans="1:38" x14ac:dyDescent="0.25">
      <c r="A8" s="8"/>
    </row>
    <row r="9" spans="1:38" s="4" customFormat="1" ht="13" thickBot="1" x14ac:dyDescent="0.3">
      <c r="A9" s="6" t="s">
        <v>13</v>
      </c>
    </row>
    <row r="10" spans="1:38" x14ac:dyDescent="0.25">
      <c r="A10" s="42"/>
      <c r="B10" s="43"/>
      <c r="C10" s="43"/>
      <c r="D10" s="43"/>
      <c r="E10" s="43"/>
      <c r="F10" s="43"/>
      <c r="G10" s="43"/>
      <c r="H10" s="43"/>
      <c r="I10" s="43"/>
      <c r="J10" s="43"/>
      <c r="K10" s="43"/>
      <c r="L10" s="43"/>
      <c r="M10" s="43"/>
      <c r="N10" s="43"/>
      <c r="O10" s="43"/>
      <c r="P10" s="43"/>
      <c r="Q10" s="44"/>
    </row>
    <row r="11" spans="1:38" x14ac:dyDescent="0.25">
      <c r="A11" s="45"/>
      <c r="B11" s="4"/>
      <c r="C11" s="10" t="s">
        <v>0</v>
      </c>
      <c r="D11" s="10"/>
      <c r="E11" s="10"/>
      <c r="F11" s="10"/>
      <c r="G11" s="10" t="s">
        <v>1</v>
      </c>
      <c r="H11" s="10"/>
      <c r="I11" s="10"/>
      <c r="J11" s="10"/>
      <c r="K11" s="4"/>
      <c r="L11" s="4"/>
      <c r="M11" s="4"/>
      <c r="N11" s="46" t="s">
        <v>14</v>
      </c>
      <c r="O11" s="4"/>
      <c r="P11" s="4"/>
      <c r="Q11" s="47"/>
    </row>
    <row r="12" spans="1:38" x14ac:dyDescent="0.25">
      <c r="A12" s="45" t="s">
        <v>2</v>
      </c>
      <c r="B12" s="4"/>
      <c r="C12" s="10">
        <v>0</v>
      </c>
      <c r="D12" s="10"/>
      <c r="E12" s="10"/>
      <c r="F12" s="10"/>
      <c r="G12" s="10">
        <v>0</v>
      </c>
      <c r="H12" s="10"/>
      <c r="I12" s="10"/>
      <c r="J12" s="10"/>
      <c r="K12" s="4"/>
      <c r="L12" s="4"/>
      <c r="M12" s="4"/>
      <c r="N12" s="11"/>
      <c r="O12" s="4"/>
      <c r="P12" s="4"/>
      <c r="Q12" s="47"/>
    </row>
    <row r="13" spans="1:38" x14ac:dyDescent="0.25">
      <c r="A13" s="45" t="s">
        <v>3</v>
      </c>
      <c r="B13" s="4"/>
      <c r="C13" s="10">
        <v>0</v>
      </c>
      <c r="D13" s="10"/>
      <c r="E13" s="10"/>
      <c r="F13" s="10"/>
      <c r="G13" s="10">
        <v>1</v>
      </c>
      <c r="H13" s="10"/>
      <c r="I13" s="10"/>
      <c r="J13" s="10"/>
      <c r="K13" s="4"/>
      <c r="L13" s="4"/>
      <c r="M13" s="4"/>
      <c r="N13" s="12"/>
      <c r="O13" s="4"/>
      <c r="P13" s="4"/>
      <c r="Q13" s="47"/>
    </row>
    <row r="14" spans="1:38" x14ac:dyDescent="0.25">
      <c r="A14" s="45" t="s">
        <v>4</v>
      </c>
      <c r="B14" s="4"/>
      <c r="C14" s="10">
        <v>1</v>
      </c>
      <c r="D14" s="10"/>
      <c r="E14" s="10"/>
      <c r="F14" s="10"/>
      <c r="G14" s="10">
        <v>0</v>
      </c>
      <c r="H14" s="10"/>
      <c r="I14" s="10"/>
      <c r="J14" s="10"/>
      <c r="K14" s="4"/>
      <c r="L14" s="4"/>
      <c r="M14" s="4"/>
      <c r="N14" s="13"/>
      <c r="O14" s="4"/>
      <c r="P14" s="4"/>
      <c r="Q14" s="47"/>
    </row>
    <row r="15" spans="1:38" x14ac:dyDescent="0.25">
      <c r="A15" s="45" t="s">
        <v>5</v>
      </c>
      <c r="B15" s="4"/>
      <c r="C15" s="10">
        <v>1</v>
      </c>
      <c r="D15" s="10"/>
      <c r="E15" s="10"/>
      <c r="F15" s="10"/>
      <c r="G15" s="10">
        <v>1</v>
      </c>
      <c r="H15" s="10"/>
      <c r="I15" s="10"/>
      <c r="J15" s="10"/>
      <c r="K15" s="4"/>
      <c r="L15" s="4"/>
      <c r="M15" s="4"/>
      <c r="N15" s="14"/>
      <c r="O15" s="4"/>
      <c r="P15" s="4"/>
      <c r="Q15" s="47"/>
    </row>
    <row r="16" spans="1:38" ht="13" thickBot="1" x14ac:dyDescent="0.3">
      <c r="A16" s="48"/>
      <c r="B16" s="49"/>
      <c r="C16" s="49"/>
      <c r="D16" s="49"/>
      <c r="E16" s="49"/>
      <c r="F16" s="49"/>
      <c r="G16" s="49"/>
      <c r="H16" s="49"/>
      <c r="I16" s="49"/>
      <c r="J16" s="49"/>
      <c r="K16" s="49"/>
      <c r="L16" s="49"/>
      <c r="M16" s="49"/>
      <c r="N16" s="49"/>
      <c r="O16" s="49"/>
      <c r="P16" s="49"/>
      <c r="Q16" s="50"/>
    </row>
    <row r="19" spans="1:82" s="4" customFormat="1" ht="13" thickBot="1" x14ac:dyDescent="0.3">
      <c r="A19" s="6" t="s">
        <v>7</v>
      </c>
    </row>
    <row r="20" spans="1:82" s="4" customFormat="1" ht="13.5" thickBot="1" x14ac:dyDescent="0.35">
      <c r="A20" s="77" t="s">
        <v>19</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c r="AY20" s="78"/>
      <c r="AZ20" s="78"/>
      <c r="BA20" s="78"/>
      <c r="BB20" s="78"/>
      <c r="BC20" s="78"/>
      <c r="BD20" s="78"/>
      <c r="BE20" s="78"/>
      <c r="BF20" s="78"/>
      <c r="BG20" s="78"/>
      <c r="BH20" s="78"/>
      <c r="BI20" s="78"/>
      <c r="BJ20" s="78"/>
      <c r="BK20" s="78"/>
      <c r="BL20" s="78"/>
      <c r="BM20" s="79"/>
      <c r="BN20" s="28"/>
      <c r="BO20" s="28"/>
      <c r="BP20" s="28"/>
      <c r="BQ20" s="60"/>
      <c r="BR20" s="60"/>
    </row>
    <row r="21" spans="1:82" ht="13" x14ac:dyDescent="0.3">
      <c r="A21" s="64"/>
      <c r="B21" s="64"/>
      <c r="C21" s="64"/>
      <c r="D21" s="64"/>
      <c r="E21" s="64"/>
      <c r="F21" s="64"/>
      <c r="G21" s="64"/>
      <c r="H21" s="64"/>
      <c r="I21" s="64"/>
      <c r="J21" s="64"/>
      <c r="K21" s="64"/>
      <c r="L21" s="64"/>
      <c r="M21" s="64"/>
      <c r="N21" s="64"/>
      <c r="O21" s="64"/>
      <c r="P21" s="64"/>
      <c r="Q21" s="64"/>
      <c r="R21" s="64"/>
      <c r="S21" s="64"/>
      <c r="T21" s="64"/>
      <c r="U21" s="64"/>
      <c r="V21" s="64"/>
      <c r="W21" s="64"/>
      <c r="X21" s="64"/>
      <c r="Y21" s="64"/>
      <c r="Z21" s="64"/>
      <c r="AA21" s="64"/>
      <c r="AB21" s="64"/>
      <c r="AC21" s="64"/>
      <c r="AD21" s="64"/>
      <c r="AE21" s="64"/>
      <c r="AF21" s="64"/>
      <c r="AG21" s="64"/>
      <c r="AH21" s="64"/>
      <c r="AI21" s="64"/>
      <c r="AJ21" s="64"/>
      <c r="AK21" s="64"/>
      <c r="AL21" s="64"/>
      <c r="AM21" s="65"/>
      <c r="AN21" s="65"/>
      <c r="AO21" s="65"/>
      <c r="AP21" s="65"/>
      <c r="AQ21" s="65"/>
      <c r="AR21" s="65"/>
      <c r="AS21" s="65"/>
      <c r="AT21" s="65"/>
      <c r="AU21" s="65"/>
      <c r="AV21" s="65"/>
      <c r="AW21" s="65"/>
      <c r="AX21" s="65"/>
      <c r="AY21" s="65"/>
      <c r="AZ21" s="65"/>
      <c r="BA21" s="65"/>
      <c r="BB21" s="65"/>
      <c r="BC21" s="65"/>
      <c r="BD21" s="65"/>
      <c r="BE21" s="65"/>
      <c r="BF21" s="65"/>
      <c r="BG21" s="65"/>
      <c r="BH21" s="65"/>
      <c r="BI21" s="65"/>
      <c r="BJ21" s="65"/>
      <c r="BK21" s="65"/>
      <c r="BL21" s="65"/>
      <c r="BM21" s="65"/>
      <c r="BN21" s="65"/>
      <c r="BO21" s="65"/>
      <c r="BP21" s="65"/>
      <c r="BQ21" s="65"/>
      <c r="BR21" s="65"/>
      <c r="BS21" s="65"/>
      <c r="BT21" s="65"/>
      <c r="BU21" s="65"/>
      <c r="BV21" s="65"/>
      <c r="BW21" s="65"/>
      <c r="BX21" s="65"/>
      <c r="BY21" s="65"/>
      <c r="BZ21" s="65"/>
      <c r="CA21" s="65"/>
      <c r="CB21" s="65"/>
      <c r="CC21" s="65"/>
      <c r="CD21" s="65"/>
    </row>
    <row r="22" spans="1:82" ht="13" x14ac:dyDescent="0.3">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row>
    <row r="23" spans="1:82" ht="13.5" thickBot="1" x14ac:dyDescent="0.35">
      <c r="A23" s="15" t="s">
        <v>6</v>
      </c>
    </row>
    <row r="24" spans="1:82" ht="13.5" thickBot="1" x14ac:dyDescent="0.35">
      <c r="A24" s="15" t="s">
        <v>8</v>
      </c>
      <c r="B24" s="51">
        <f>HEX2DEC(MID(A$20,1,2))</f>
        <v>8</v>
      </c>
      <c r="C24" s="52"/>
    </row>
    <row r="25" spans="1:82" ht="13.5" thickBot="1" x14ac:dyDescent="0.35">
      <c r="A25" s="15" t="s">
        <v>9</v>
      </c>
      <c r="B25" s="51">
        <f>HEX2DEC(MID(A$20,3,2))</f>
        <v>3</v>
      </c>
      <c r="C25" s="52"/>
    </row>
    <row r="26" spans="1:82" ht="13" x14ac:dyDescent="0.3">
      <c r="A26" s="39"/>
      <c r="B26" s="38"/>
      <c r="C26" s="53">
        <v>15</v>
      </c>
      <c r="D26" s="53">
        <v>14</v>
      </c>
      <c r="E26" s="53">
        <v>13</v>
      </c>
      <c r="F26" s="53">
        <v>12</v>
      </c>
      <c r="G26" s="53">
        <v>11</v>
      </c>
      <c r="H26" s="53">
        <v>10</v>
      </c>
      <c r="I26" s="53">
        <v>9</v>
      </c>
      <c r="J26" s="53">
        <v>8</v>
      </c>
      <c r="K26" s="53">
        <v>7</v>
      </c>
      <c r="L26" s="53">
        <v>6</v>
      </c>
      <c r="M26" s="53">
        <v>5</v>
      </c>
      <c r="N26" s="53">
        <v>4</v>
      </c>
      <c r="O26" s="53">
        <v>3</v>
      </c>
      <c r="P26" s="53">
        <v>2</v>
      </c>
      <c r="Q26" s="53">
        <v>1</v>
      </c>
      <c r="R26" s="53">
        <v>0</v>
      </c>
      <c r="S26" s="38"/>
      <c r="T26" s="38"/>
      <c r="U26" s="41" t="s">
        <v>15</v>
      </c>
      <c r="V26" s="9"/>
      <c r="W26" s="9"/>
      <c r="X26" s="9"/>
      <c r="Y26" s="9"/>
      <c r="Z26" s="9"/>
      <c r="AA26" s="9"/>
      <c r="AB26" s="9"/>
      <c r="AC26" s="9"/>
      <c r="AD26" s="9"/>
      <c r="AE26" s="9"/>
      <c r="AF26" s="9"/>
      <c r="AG26" s="9"/>
      <c r="AH26" s="9"/>
      <c r="AI26" s="9"/>
      <c r="AJ26" s="9"/>
      <c r="AO26" s="41" t="s">
        <v>16</v>
      </c>
      <c r="AP26" s="9"/>
      <c r="AQ26" s="9"/>
      <c r="AR26" s="9"/>
      <c r="AS26" s="9"/>
      <c r="AT26" s="9"/>
      <c r="AU26" s="9"/>
      <c r="AV26" s="9"/>
      <c r="AW26" s="9"/>
      <c r="AX26" s="9"/>
      <c r="AY26" s="9"/>
      <c r="AZ26" s="9"/>
      <c r="BA26" s="9"/>
      <c r="BB26" s="9"/>
      <c r="BC26" s="9"/>
      <c r="BD26" s="9"/>
    </row>
    <row r="27" spans="1:82" x14ac:dyDescent="0.25">
      <c r="A27" s="38"/>
      <c r="B27" s="38" t="s">
        <v>0</v>
      </c>
      <c r="C27" s="38"/>
      <c r="D27" s="38"/>
      <c r="E27" s="38"/>
      <c r="F27" s="38"/>
      <c r="G27" s="38"/>
      <c r="H27" s="38"/>
      <c r="I27" s="38"/>
      <c r="J27" s="38"/>
      <c r="K27" s="38"/>
      <c r="L27" s="38"/>
      <c r="M27" s="38"/>
      <c r="N27" s="38"/>
      <c r="O27" s="38"/>
      <c r="P27" s="38"/>
      <c r="Q27" s="38"/>
      <c r="S27" s="38"/>
      <c r="T27" s="38"/>
      <c r="U27" s="38"/>
      <c r="V27" s="38"/>
      <c r="W27" s="38"/>
      <c r="X27" s="38"/>
      <c r="Y27" s="38"/>
      <c r="Z27" s="38"/>
      <c r="AA27" s="38"/>
      <c r="AB27" s="38"/>
      <c r="AC27" s="38"/>
      <c r="AD27" s="38"/>
      <c r="AE27" s="38"/>
      <c r="AF27" s="38"/>
      <c r="AG27" s="38"/>
      <c r="AH27" s="38"/>
      <c r="AI27" s="38"/>
      <c r="AJ27" s="38"/>
      <c r="AK27" s="38"/>
    </row>
    <row r="28" spans="1:82" ht="13" x14ac:dyDescent="0.3">
      <c r="A28" s="62" t="str">
        <f>MID(A$20,7,2) &amp; MID(A$20,5,2)</f>
        <v>FFFF</v>
      </c>
      <c r="B28" s="84">
        <f>_xlfn.BITAND(1, _xlfn.BITRSHIFT(HEX2DEC($A28),C$26))</f>
        <v>1</v>
      </c>
      <c r="C28" s="85">
        <f>_xlfn.BITAND(1, _xlfn.BITRSHIFT(HEX2DEC($A28),D$26))</f>
        <v>1</v>
      </c>
      <c r="D28" s="85">
        <f>_xlfn.BITAND(1, _xlfn.BITRSHIFT(HEX2DEC($A28),E$26))</f>
        <v>1</v>
      </c>
      <c r="E28" s="85">
        <f>_xlfn.BITAND(1, _xlfn.BITRSHIFT(HEX2DEC($A28),F$26))</f>
        <v>1</v>
      </c>
      <c r="F28" s="85">
        <f>_xlfn.BITAND(1, _xlfn.BITRSHIFT(HEX2DEC($A28),G$26))</f>
        <v>1</v>
      </c>
      <c r="G28" s="85">
        <f>_xlfn.BITAND(1, _xlfn.BITRSHIFT(HEX2DEC($A28),H$26))</f>
        <v>1</v>
      </c>
      <c r="H28" s="85">
        <f>_xlfn.BITAND(1, _xlfn.BITRSHIFT(HEX2DEC($A28),I$26))</f>
        <v>1</v>
      </c>
      <c r="I28" s="85">
        <f>_xlfn.BITAND(1, _xlfn.BITRSHIFT(HEX2DEC($A28),J$26))</f>
        <v>1</v>
      </c>
      <c r="J28" s="85">
        <f>_xlfn.BITAND(1, _xlfn.BITRSHIFT(HEX2DEC($A28),K$26))</f>
        <v>1</v>
      </c>
      <c r="K28" s="85">
        <f>_xlfn.BITAND(1, _xlfn.BITRSHIFT(HEX2DEC($A28),L$26))</f>
        <v>1</v>
      </c>
      <c r="L28" s="85">
        <f>_xlfn.BITAND(1, _xlfn.BITRSHIFT(HEX2DEC($A28),M$26))</f>
        <v>1</v>
      </c>
      <c r="M28" s="85">
        <f>_xlfn.BITAND(1, _xlfn.BITRSHIFT(HEX2DEC($A28),N$26))</f>
        <v>1</v>
      </c>
      <c r="N28" s="85">
        <f>_xlfn.BITAND(1, _xlfn.BITRSHIFT(HEX2DEC($A28),O$26))</f>
        <v>1</v>
      </c>
      <c r="O28" s="85">
        <f>_xlfn.BITAND(1, _xlfn.BITRSHIFT(HEX2DEC($A28),P$26))</f>
        <v>1</v>
      </c>
      <c r="P28" s="85">
        <f>_xlfn.BITAND(1, _xlfn.BITRSHIFT(HEX2DEC($A28),Q$26))</f>
        <v>1</v>
      </c>
      <c r="Q28" s="86">
        <f>_xlfn.BITAND(1, _xlfn.BITRSHIFT(HEX2DEC($A28),R$26))</f>
        <v>1</v>
      </c>
      <c r="S28" s="38"/>
      <c r="T28" s="38"/>
      <c r="U28" s="16" t="str">
        <f>IF(AND($B$24 = (COLUMN(U28) - COLUMN($U$28)),$B$25 = (ROW(U28) - ROW($U$28))), "X", "")</f>
        <v/>
      </c>
      <c r="V28" s="17" t="str">
        <f t="shared" ref="V28:AJ43" si="0">IF(AND($B$24 = (COLUMN(V28) - COLUMN($U$28)),$B$25 = (ROW(V28) - ROW($U$28))), "X", "")</f>
        <v/>
      </c>
      <c r="W28" s="17" t="str">
        <f t="shared" si="0"/>
        <v/>
      </c>
      <c r="X28" s="17" t="str">
        <f t="shared" si="0"/>
        <v/>
      </c>
      <c r="Y28" s="17" t="str">
        <f t="shared" si="0"/>
        <v/>
      </c>
      <c r="Z28" s="17" t="str">
        <f t="shared" si="0"/>
        <v/>
      </c>
      <c r="AA28" s="17" t="str">
        <f t="shared" si="0"/>
        <v/>
      </c>
      <c r="AB28" s="17" t="str">
        <f t="shared" si="0"/>
        <v/>
      </c>
      <c r="AC28" s="17" t="str">
        <f t="shared" si="0"/>
        <v/>
      </c>
      <c r="AD28" s="17" t="str">
        <f t="shared" si="0"/>
        <v/>
      </c>
      <c r="AE28" s="17" t="str">
        <f t="shared" si="0"/>
        <v/>
      </c>
      <c r="AF28" s="17" t="str">
        <f t="shared" si="0"/>
        <v/>
      </c>
      <c r="AG28" s="17" t="str">
        <f t="shared" si="0"/>
        <v/>
      </c>
      <c r="AH28" s="17" t="str">
        <f t="shared" si="0"/>
        <v/>
      </c>
      <c r="AI28" s="17" t="str">
        <f t="shared" si="0"/>
        <v/>
      </c>
      <c r="AJ28" s="18" t="str">
        <f t="shared" si="0"/>
        <v/>
      </c>
      <c r="AK28" s="38"/>
      <c r="AO28" s="29" t="str">
        <f>IF(AND($B$24 = (COLUMN(AO28) - COLUMN($AO$28)),$B$25 = (ROW(AO28) - ROW($AO$28))), "X", "")</f>
        <v/>
      </c>
      <c r="AP28" s="30" t="str">
        <f t="shared" ref="AP28:BD43" si="1">IF(AND($B$24 = (COLUMN(AP28) - COLUMN($AO$28)),$B$25 = (ROW(AP28) - ROW($AO$28))), "X", "")</f>
        <v/>
      </c>
      <c r="AQ28" s="30" t="str">
        <f t="shared" si="1"/>
        <v/>
      </c>
      <c r="AR28" s="30" t="str">
        <f t="shared" si="1"/>
        <v/>
      </c>
      <c r="AS28" s="30" t="str">
        <f t="shared" si="1"/>
        <v/>
      </c>
      <c r="AT28" s="30" t="str">
        <f t="shared" si="1"/>
        <v/>
      </c>
      <c r="AU28" s="30" t="str">
        <f t="shared" si="1"/>
        <v/>
      </c>
      <c r="AV28" s="30" t="str">
        <f t="shared" si="1"/>
        <v/>
      </c>
      <c r="AW28" s="30" t="str">
        <f t="shared" si="1"/>
        <v/>
      </c>
      <c r="AX28" s="30" t="str">
        <f t="shared" si="1"/>
        <v/>
      </c>
      <c r="AY28" s="30" t="str">
        <f t="shared" si="1"/>
        <v/>
      </c>
      <c r="AZ28" s="30" t="str">
        <f t="shared" si="1"/>
        <v/>
      </c>
      <c r="BA28" s="30" t="str">
        <f t="shared" si="1"/>
        <v/>
      </c>
      <c r="BB28" s="30" t="str">
        <f t="shared" si="1"/>
        <v/>
      </c>
      <c r="BC28" s="30" t="str">
        <f t="shared" si="1"/>
        <v/>
      </c>
      <c r="BD28" s="31" t="str">
        <f t="shared" si="1"/>
        <v/>
      </c>
    </row>
    <row r="29" spans="1:82" ht="13" x14ac:dyDescent="0.3">
      <c r="A29" s="62" t="str">
        <f>MID(A$20,11,2) &amp; MID(A$20,9,2)</f>
        <v>FFFF</v>
      </c>
      <c r="B29" s="87">
        <f>_xlfn.BITAND(1, _xlfn.BITRSHIFT(HEX2DEC($A29),C$26))</f>
        <v>1</v>
      </c>
      <c r="C29" s="88">
        <f>_xlfn.BITAND(1, _xlfn.BITRSHIFT(HEX2DEC($A29),D$26))</f>
        <v>1</v>
      </c>
      <c r="D29" s="88">
        <f>_xlfn.BITAND(1, _xlfn.BITRSHIFT(HEX2DEC($A29),E$26))</f>
        <v>1</v>
      </c>
      <c r="E29" s="88">
        <f>_xlfn.BITAND(1, _xlfn.BITRSHIFT(HEX2DEC($A29),F$26))</f>
        <v>1</v>
      </c>
      <c r="F29" s="88">
        <f>_xlfn.BITAND(1, _xlfn.BITRSHIFT(HEX2DEC($A29),G$26))</f>
        <v>1</v>
      </c>
      <c r="G29" s="88">
        <f>_xlfn.BITAND(1, _xlfn.BITRSHIFT(HEX2DEC($A29),H$26))</f>
        <v>1</v>
      </c>
      <c r="H29" s="88">
        <f>_xlfn.BITAND(1, _xlfn.BITRSHIFT(HEX2DEC($A29),I$26))</f>
        <v>1</v>
      </c>
      <c r="I29" s="88">
        <f>_xlfn.BITAND(1, _xlfn.BITRSHIFT(HEX2DEC($A29),J$26))</f>
        <v>1</v>
      </c>
      <c r="J29" s="88">
        <f>_xlfn.BITAND(1, _xlfn.BITRSHIFT(HEX2DEC($A29),K$26))</f>
        <v>1</v>
      </c>
      <c r="K29" s="88">
        <f>_xlfn.BITAND(1, _xlfn.BITRSHIFT(HEX2DEC($A29),L$26))</f>
        <v>1</v>
      </c>
      <c r="L29" s="88">
        <f>_xlfn.BITAND(1, _xlfn.BITRSHIFT(HEX2DEC($A29),M$26))</f>
        <v>1</v>
      </c>
      <c r="M29" s="88">
        <f>_xlfn.BITAND(1, _xlfn.BITRSHIFT(HEX2DEC($A29),N$26))</f>
        <v>1</v>
      </c>
      <c r="N29" s="88">
        <f>_xlfn.BITAND(1, _xlfn.BITRSHIFT(HEX2DEC($A29),O$26))</f>
        <v>1</v>
      </c>
      <c r="O29" s="88">
        <f>_xlfn.BITAND(1, _xlfn.BITRSHIFT(HEX2DEC($A29),P$26))</f>
        <v>1</v>
      </c>
      <c r="P29" s="88">
        <f>_xlfn.BITAND(1, _xlfn.BITRSHIFT(HEX2DEC($A29),Q$26))</f>
        <v>1</v>
      </c>
      <c r="Q29" s="89">
        <f>_xlfn.BITAND(1, _xlfn.BITRSHIFT(HEX2DEC($A29),R$26))</f>
        <v>1</v>
      </c>
      <c r="S29" s="38"/>
      <c r="T29" s="38"/>
      <c r="U29" s="19" t="str">
        <f t="shared" ref="U29:AJ43" si="2">IF(AND($B$24 = (COLUMN(U29) - COLUMN($U$28)),$B$25 = (ROW(U29) - ROW($U$28))), "X", "")</f>
        <v/>
      </c>
      <c r="V29" s="20" t="str">
        <f t="shared" si="0"/>
        <v/>
      </c>
      <c r="W29" s="20" t="str">
        <f t="shared" si="0"/>
        <v/>
      </c>
      <c r="X29" s="20" t="str">
        <f t="shared" si="0"/>
        <v/>
      </c>
      <c r="Y29" s="20" t="str">
        <f t="shared" si="0"/>
        <v/>
      </c>
      <c r="Z29" s="20" t="str">
        <f t="shared" si="0"/>
        <v/>
      </c>
      <c r="AA29" s="20" t="str">
        <f t="shared" si="0"/>
        <v/>
      </c>
      <c r="AB29" s="20" t="str">
        <f t="shared" si="0"/>
        <v/>
      </c>
      <c r="AC29" s="20" t="str">
        <f t="shared" si="0"/>
        <v/>
      </c>
      <c r="AD29" s="20" t="str">
        <f t="shared" si="0"/>
        <v/>
      </c>
      <c r="AE29" s="20" t="str">
        <f t="shared" si="0"/>
        <v/>
      </c>
      <c r="AF29" s="20" t="str">
        <f t="shared" si="0"/>
        <v/>
      </c>
      <c r="AG29" s="20" t="str">
        <f t="shared" si="0"/>
        <v/>
      </c>
      <c r="AH29" s="20" t="str">
        <f t="shared" si="0"/>
        <v/>
      </c>
      <c r="AI29" s="20" t="str">
        <f t="shared" si="0"/>
        <v/>
      </c>
      <c r="AJ29" s="21" t="str">
        <f t="shared" si="0"/>
        <v/>
      </c>
      <c r="AK29" s="38"/>
      <c r="AO29" s="32" t="str">
        <f t="shared" ref="AO29:BD43" si="3">IF(AND($B$24 = (COLUMN(AO29) - COLUMN($AO$28)),$B$25 = (ROW(AO29) - ROW($AO$28))), "X", "")</f>
        <v/>
      </c>
      <c r="AP29" s="33" t="str">
        <f t="shared" si="1"/>
        <v/>
      </c>
      <c r="AQ29" s="33" t="str">
        <f t="shared" si="1"/>
        <v/>
      </c>
      <c r="AR29" s="33" t="str">
        <f t="shared" si="1"/>
        <v/>
      </c>
      <c r="AS29" s="33" t="str">
        <f t="shared" si="1"/>
        <v/>
      </c>
      <c r="AT29" s="33" t="str">
        <f t="shared" si="1"/>
        <v/>
      </c>
      <c r="AU29" s="33" t="str">
        <f t="shared" si="1"/>
        <v/>
      </c>
      <c r="AV29" s="33" t="str">
        <f t="shared" si="1"/>
        <v/>
      </c>
      <c r="AW29" s="33" t="str">
        <f t="shared" si="1"/>
        <v/>
      </c>
      <c r="AX29" s="33" t="str">
        <f t="shared" si="1"/>
        <v/>
      </c>
      <c r="AY29" s="33" t="str">
        <f t="shared" si="1"/>
        <v/>
      </c>
      <c r="AZ29" s="33" t="str">
        <f t="shared" si="1"/>
        <v/>
      </c>
      <c r="BA29" s="33" t="str">
        <f t="shared" si="1"/>
        <v/>
      </c>
      <c r="BB29" s="33" t="str">
        <f t="shared" si="1"/>
        <v/>
      </c>
      <c r="BC29" s="33" t="str">
        <f t="shared" si="1"/>
        <v/>
      </c>
      <c r="BD29" s="34" t="str">
        <f t="shared" si="1"/>
        <v/>
      </c>
    </row>
    <row r="30" spans="1:82" ht="13" x14ac:dyDescent="0.3">
      <c r="A30" s="62" t="str">
        <f>MID(A$20,15,2) &amp; MID(A$20,13,2)</f>
        <v>FE1F</v>
      </c>
      <c r="B30" s="87">
        <f>_xlfn.BITAND(1, _xlfn.BITRSHIFT(HEX2DEC($A30),C$26))</f>
        <v>1</v>
      </c>
      <c r="C30" s="88">
        <f>_xlfn.BITAND(1, _xlfn.BITRSHIFT(HEX2DEC($A30),D$26))</f>
        <v>1</v>
      </c>
      <c r="D30" s="88">
        <f>_xlfn.BITAND(1, _xlfn.BITRSHIFT(HEX2DEC($A30),E$26))</f>
        <v>1</v>
      </c>
      <c r="E30" s="88">
        <f>_xlfn.BITAND(1, _xlfn.BITRSHIFT(HEX2DEC($A30),F$26))</f>
        <v>1</v>
      </c>
      <c r="F30" s="88">
        <f>_xlfn.BITAND(1, _xlfn.BITRSHIFT(HEX2DEC($A30),G$26))</f>
        <v>1</v>
      </c>
      <c r="G30" s="88">
        <f>_xlfn.BITAND(1, _xlfn.BITRSHIFT(HEX2DEC($A30),H$26))</f>
        <v>1</v>
      </c>
      <c r="H30" s="88">
        <f>_xlfn.BITAND(1, _xlfn.BITRSHIFT(HEX2DEC($A30),I$26))</f>
        <v>1</v>
      </c>
      <c r="I30" s="88">
        <f>_xlfn.BITAND(1, _xlfn.BITRSHIFT(HEX2DEC($A30),J$26))</f>
        <v>0</v>
      </c>
      <c r="J30" s="88">
        <f>_xlfn.BITAND(1, _xlfn.BITRSHIFT(HEX2DEC($A30),K$26))</f>
        <v>0</v>
      </c>
      <c r="K30" s="88">
        <f>_xlfn.BITAND(1, _xlfn.BITRSHIFT(HEX2DEC($A30),L$26))</f>
        <v>0</v>
      </c>
      <c r="L30" s="88">
        <f>_xlfn.BITAND(1, _xlfn.BITRSHIFT(HEX2DEC($A30),M$26))</f>
        <v>0</v>
      </c>
      <c r="M30" s="88">
        <f>_xlfn.BITAND(1, _xlfn.BITRSHIFT(HEX2DEC($A30),N$26))</f>
        <v>1</v>
      </c>
      <c r="N30" s="88">
        <f>_xlfn.BITAND(1, _xlfn.BITRSHIFT(HEX2DEC($A30),O$26))</f>
        <v>1</v>
      </c>
      <c r="O30" s="88">
        <f>_xlfn.BITAND(1, _xlfn.BITRSHIFT(HEX2DEC($A30),P$26))</f>
        <v>1</v>
      </c>
      <c r="P30" s="88">
        <f>_xlfn.BITAND(1, _xlfn.BITRSHIFT(HEX2DEC($A30),Q$26))</f>
        <v>1</v>
      </c>
      <c r="Q30" s="89">
        <f>_xlfn.BITAND(1, _xlfn.BITRSHIFT(HEX2DEC($A30),R$26))</f>
        <v>1</v>
      </c>
      <c r="S30" s="38"/>
      <c r="T30" s="38"/>
      <c r="U30" s="19" t="str">
        <f t="shared" si="2"/>
        <v/>
      </c>
      <c r="V30" s="20" t="str">
        <f t="shared" si="0"/>
        <v/>
      </c>
      <c r="W30" s="20" t="str">
        <f t="shared" si="0"/>
        <v/>
      </c>
      <c r="X30" s="20" t="str">
        <f t="shared" si="0"/>
        <v/>
      </c>
      <c r="Y30" s="20" t="str">
        <f t="shared" si="0"/>
        <v/>
      </c>
      <c r="Z30" s="20" t="str">
        <f t="shared" si="0"/>
        <v/>
      </c>
      <c r="AA30" s="20" t="str">
        <f t="shared" si="0"/>
        <v/>
      </c>
      <c r="AB30" s="20" t="str">
        <f t="shared" si="0"/>
        <v/>
      </c>
      <c r="AC30" s="20" t="str">
        <f t="shared" si="0"/>
        <v/>
      </c>
      <c r="AD30" s="20" t="str">
        <f t="shared" si="0"/>
        <v/>
      </c>
      <c r="AE30" s="20" t="str">
        <f t="shared" si="0"/>
        <v/>
      </c>
      <c r="AF30" s="20" t="str">
        <f t="shared" si="0"/>
        <v/>
      </c>
      <c r="AG30" s="20" t="str">
        <f t="shared" si="0"/>
        <v/>
      </c>
      <c r="AH30" s="20" t="str">
        <f t="shared" si="0"/>
        <v/>
      </c>
      <c r="AI30" s="20" t="str">
        <f t="shared" si="0"/>
        <v/>
      </c>
      <c r="AJ30" s="21" t="str">
        <f t="shared" si="0"/>
        <v/>
      </c>
      <c r="AK30" s="38"/>
      <c r="AO30" s="32" t="str">
        <f t="shared" si="3"/>
        <v/>
      </c>
      <c r="AP30" s="33" t="str">
        <f t="shared" si="1"/>
        <v/>
      </c>
      <c r="AQ30" s="33" t="str">
        <f t="shared" si="1"/>
        <v/>
      </c>
      <c r="AR30" s="33" t="str">
        <f t="shared" si="1"/>
        <v/>
      </c>
      <c r="AS30" s="33" t="str">
        <f t="shared" si="1"/>
        <v/>
      </c>
      <c r="AT30" s="33" t="str">
        <f t="shared" si="1"/>
        <v/>
      </c>
      <c r="AU30" s="33" t="str">
        <f t="shared" si="1"/>
        <v/>
      </c>
      <c r="AV30" s="33" t="str">
        <f t="shared" si="1"/>
        <v/>
      </c>
      <c r="AW30" s="33" t="str">
        <f t="shared" si="1"/>
        <v/>
      </c>
      <c r="AX30" s="33" t="str">
        <f t="shared" si="1"/>
        <v/>
      </c>
      <c r="AY30" s="33" t="str">
        <f t="shared" si="1"/>
        <v/>
      </c>
      <c r="AZ30" s="33" t="str">
        <f t="shared" si="1"/>
        <v/>
      </c>
      <c r="BA30" s="33" t="str">
        <f t="shared" si="1"/>
        <v/>
      </c>
      <c r="BB30" s="33" t="str">
        <f t="shared" si="1"/>
        <v/>
      </c>
      <c r="BC30" s="33" t="str">
        <f t="shared" si="1"/>
        <v/>
      </c>
      <c r="BD30" s="34" t="str">
        <f t="shared" si="1"/>
        <v/>
      </c>
    </row>
    <row r="31" spans="1:82" ht="13" x14ac:dyDescent="0.3">
      <c r="A31" s="62" t="str">
        <f>MID(A$20,19,2) &amp; MID(A$20,17,2)</f>
        <v>F807</v>
      </c>
      <c r="B31" s="87">
        <f>_xlfn.BITAND(1, _xlfn.BITRSHIFT(HEX2DEC($A31),C$26))</f>
        <v>1</v>
      </c>
      <c r="C31" s="88">
        <f>_xlfn.BITAND(1, _xlfn.BITRSHIFT(HEX2DEC($A31),D$26))</f>
        <v>1</v>
      </c>
      <c r="D31" s="88">
        <f>_xlfn.BITAND(1, _xlfn.BITRSHIFT(HEX2DEC($A31),E$26))</f>
        <v>1</v>
      </c>
      <c r="E31" s="88">
        <f>_xlfn.BITAND(1, _xlfn.BITRSHIFT(HEX2DEC($A31),F$26))</f>
        <v>1</v>
      </c>
      <c r="F31" s="88">
        <f>_xlfn.BITAND(1, _xlfn.BITRSHIFT(HEX2DEC($A31),G$26))</f>
        <v>1</v>
      </c>
      <c r="G31" s="88">
        <f>_xlfn.BITAND(1, _xlfn.BITRSHIFT(HEX2DEC($A31),H$26))</f>
        <v>0</v>
      </c>
      <c r="H31" s="88">
        <f>_xlfn.BITAND(1, _xlfn.BITRSHIFT(HEX2DEC($A31),I$26))</f>
        <v>0</v>
      </c>
      <c r="I31" s="88">
        <f>_xlfn.BITAND(1, _xlfn.BITRSHIFT(HEX2DEC($A31),J$26))</f>
        <v>0</v>
      </c>
      <c r="J31" s="88">
        <f>_xlfn.BITAND(1, _xlfn.BITRSHIFT(HEX2DEC($A31),K$26))</f>
        <v>0</v>
      </c>
      <c r="K31" s="88">
        <f>_xlfn.BITAND(1, _xlfn.BITRSHIFT(HEX2DEC($A31),L$26))</f>
        <v>0</v>
      </c>
      <c r="L31" s="88">
        <f>_xlfn.BITAND(1, _xlfn.BITRSHIFT(HEX2DEC($A31),M$26))</f>
        <v>0</v>
      </c>
      <c r="M31" s="88">
        <f>_xlfn.BITAND(1, _xlfn.BITRSHIFT(HEX2DEC($A31),N$26))</f>
        <v>0</v>
      </c>
      <c r="N31" s="88">
        <f>_xlfn.BITAND(1, _xlfn.BITRSHIFT(HEX2DEC($A31),O$26))</f>
        <v>0</v>
      </c>
      <c r="O31" s="88">
        <f>_xlfn.BITAND(1, _xlfn.BITRSHIFT(HEX2DEC($A31),P$26))</f>
        <v>1</v>
      </c>
      <c r="P31" s="88">
        <f>_xlfn.BITAND(1, _xlfn.BITRSHIFT(HEX2DEC($A31),Q$26))</f>
        <v>1</v>
      </c>
      <c r="Q31" s="89">
        <f>_xlfn.BITAND(1, _xlfn.BITRSHIFT(HEX2DEC($A31),R$26))</f>
        <v>1</v>
      </c>
      <c r="S31" s="38"/>
      <c r="T31" s="38"/>
      <c r="U31" s="19" t="str">
        <f t="shared" si="2"/>
        <v/>
      </c>
      <c r="V31" s="20" t="str">
        <f t="shared" si="0"/>
        <v/>
      </c>
      <c r="W31" s="20" t="str">
        <f t="shared" si="0"/>
        <v/>
      </c>
      <c r="X31" s="20" t="str">
        <f t="shared" si="0"/>
        <v/>
      </c>
      <c r="Y31" s="20" t="str">
        <f t="shared" si="0"/>
        <v/>
      </c>
      <c r="Z31" s="20" t="str">
        <f t="shared" si="0"/>
        <v/>
      </c>
      <c r="AA31" s="20" t="str">
        <f t="shared" si="0"/>
        <v/>
      </c>
      <c r="AB31" s="20" t="str">
        <f t="shared" si="0"/>
        <v/>
      </c>
      <c r="AC31" s="20" t="str">
        <f t="shared" si="0"/>
        <v>X</v>
      </c>
      <c r="AD31" s="20" t="str">
        <f t="shared" si="0"/>
        <v/>
      </c>
      <c r="AE31" s="20" t="str">
        <f t="shared" si="0"/>
        <v/>
      </c>
      <c r="AF31" s="20" t="str">
        <f t="shared" si="0"/>
        <v/>
      </c>
      <c r="AG31" s="20" t="str">
        <f t="shared" si="0"/>
        <v/>
      </c>
      <c r="AH31" s="20" t="str">
        <f t="shared" si="0"/>
        <v/>
      </c>
      <c r="AI31" s="20" t="str">
        <f t="shared" si="0"/>
        <v/>
      </c>
      <c r="AJ31" s="21" t="str">
        <f t="shared" si="0"/>
        <v/>
      </c>
      <c r="AK31" s="38"/>
      <c r="AO31" s="32" t="str">
        <f t="shared" si="3"/>
        <v/>
      </c>
      <c r="AP31" s="33" t="str">
        <f t="shared" si="1"/>
        <v/>
      </c>
      <c r="AQ31" s="33" t="str">
        <f t="shared" si="1"/>
        <v/>
      </c>
      <c r="AR31" s="33" t="str">
        <f t="shared" si="1"/>
        <v/>
      </c>
      <c r="AS31" s="33" t="str">
        <f t="shared" si="1"/>
        <v/>
      </c>
      <c r="AT31" s="33" t="str">
        <f t="shared" si="1"/>
        <v/>
      </c>
      <c r="AU31" s="33" t="str">
        <f t="shared" si="1"/>
        <v/>
      </c>
      <c r="AV31" s="33" t="str">
        <f t="shared" si="1"/>
        <v/>
      </c>
      <c r="AW31" s="33" t="str">
        <f t="shared" si="1"/>
        <v>X</v>
      </c>
      <c r="AX31" s="33" t="str">
        <f t="shared" si="1"/>
        <v/>
      </c>
      <c r="AY31" s="33" t="str">
        <f t="shared" si="1"/>
        <v/>
      </c>
      <c r="AZ31" s="33" t="str">
        <f t="shared" si="1"/>
        <v/>
      </c>
      <c r="BA31" s="33" t="str">
        <f t="shared" si="1"/>
        <v/>
      </c>
      <c r="BB31" s="33" t="str">
        <f t="shared" si="1"/>
        <v/>
      </c>
      <c r="BC31" s="33" t="str">
        <f t="shared" si="1"/>
        <v/>
      </c>
      <c r="BD31" s="34" t="str">
        <f t="shared" si="1"/>
        <v/>
      </c>
    </row>
    <row r="32" spans="1:82" ht="13" x14ac:dyDescent="0.3">
      <c r="A32" s="62" t="str">
        <f>MID(A$20,23,2) &amp; MID(A$20,21,2)</f>
        <v>F001</v>
      </c>
      <c r="B32" s="87">
        <f>_xlfn.BITAND(1, _xlfn.BITRSHIFT(HEX2DEC($A32),C$26))</f>
        <v>1</v>
      </c>
      <c r="C32" s="88">
        <f>_xlfn.BITAND(1, _xlfn.BITRSHIFT(HEX2DEC($A32),D$26))</f>
        <v>1</v>
      </c>
      <c r="D32" s="88">
        <f>_xlfn.BITAND(1, _xlfn.BITRSHIFT(HEX2DEC($A32),E$26))</f>
        <v>1</v>
      </c>
      <c r="E32" s="88">
        <f>_xlfn.BITAND(1, _xlfn.BITRSHIFT(HEX2DEC($A32),F$26))</f>
        <v>1</v>
      </c>
      <c r="F32" s="88">
        <f>_xlfn.BITAND(1, _xlfn.BITRSHIFT(HEX2DEC($A32),G$26))</f>
        <v>0</v>
      </c>
      <c r="G32" s="88">
        <f>_xlfn.BITAND(1, _xlfn.BITRSHIFT(HEX2DEC($A32),H$26))</f>
        <v>0</v>
      </c>
      <c r="H32" s="88">
        <f>_xlfn.BITAND(1, _xlfn.BITRSHIFT(HEX2DEC($A32),I$26))</f>
        <v>0</v>
      </c>
      <c r="I32" s="88">
        <f>_xlfn.BITAND(1, _xlfn.BITRSHIFT(HEX2DEC($A32),J$26))</f>
        <v>0</v>
      </c>
      <c r="J32" s="88">
        <f>_xlfn.BITAND(1, _xlfn.BITRSHIFT(HEX2DEC($A32),K$26))</f>
        <v>0</v>
      </c>
      <c r="K32" s="88">
        <f>_xlfn.BITAND(1, _xlfn.BITRSHIFT(HEX2DEC($A32),L$26))</f>
        <v>0</v>
      </c>
      <c r="L32" s="88">
        <f>_xlfn.BITAND(1, _xlfn.BITRSHIFT(HEX2DEC($A32),M$26))</f>
        <v>0</v>
      </c>
      <c r="M32" s="88">
        <f>_xlfn.BITAND(1, _xlfn.BITRSHIFT(HEX2DEC($A32),N$26))</f>
        <v>0</v>
      </c>
      <c r="N32" s="88">
        <f>_xlfn.BITAND(1, _xlfn.BITRSHIFT(HEX2DEC($A32),O$26))</f>
        <v>0</v>
      </c>
      <c r="O32" s="88">
        <f>_xlfn.BITAND(1, _xlfn.BITRSHIFT(HEX2DEC($A32),P$26))</f>
        <v>0</v>
      </c>
      <c r="P32" s="88">
        <f>_xlfn.BITAND(1, _xlfn.BITRSHIFT(HEX2DEC($A32),Q$26))</f>
        <v>0</v>
      </c>
      <c r="Q32" s="89">
        <f>_xlfn.BITAND(1, _xlfn.BITRSHIFT(HEX2DEC($A32),R$26))</f>
        <v>1</v>
      </c>
      <c r="S32" s="38"/>
      <c r="T32" s="38"/>
      <c r="U32" s="19" t="str">
        <f t="shared" si="2"/>
        <v/>
      </c>
      <c r="V32" s="20" t="str">
        <f t="shared" si="0"/>
        <v/>
      </c>
      <c r="W32" s="20" t="str">
        <f t="shared" si="0"/>
        <v/>
      </c>
      <c r="X32" s="20" t="str">
        <f t="shared" si="0"/>
        <v/>
      </c>
      <c r="Y32" s="20" t="str">
        <f t="shared" si="0"/>
        <v/>
      </c>
      <c r="Z32" s="20" t="str">
        <f t="shared" si="0"/>
        <v/>
      </c>
      <c r="AA32" s="20" t="str">
        <f t="shared" si="0"/>
        <v/>
      </c>
      <c r="AB32" s="20" t="str">
        <f t="shared" si="0"/>
        <v/>
      </c>
      <c r="AC32" s="20" t="str">
        <f t="shared" si="0"/>
        <v/>
      </c>
      <c r="AD32" s="20" t="str">
        <f t="shared" si="0"/>
        <v/>
      </c>
      <c r="AE32" s="20" t="str">
        <f t="shared" si="0"/>
        <v/>
      </c>
      <c r="AF32" s="20" t="str">
        <f t="shared" si="0"/>
        <v/>
      </c>
      <c r="AG32" s="20" t="str">
        <f t="shared" si="0"/>
        <v/>
      </c>
      <c r="AH32" s="20" t="str">
        <f t="shared" si="0"/>
        <v/>
      </c>
      <c r="AI32" s="20" t="str">
        <f t="shared" si="0"/>
        <v/>
      </c>
      <c r="AJ32" s="21" t="str">
        <f t="shared" si="0"/>
        <v/>
      </c>
      <c r="AK32" s="38"/>
      <c r="AO32" s="32" t="str">
        <f t="shared" si="3"/>
        <v/>
      </c>
      <c r="AP32" s="33" t="str">
        <f t="shared" si="1"/>
        <v/>
      </c>
      <c r="AQ32" s="33" t="str">
        <f t="shared" si="1"/>
        <v/>
      </c>
      <c r="AR32" s="33" t="str">
        <f t="shared" si="1"/>
        <v/>
      </c>
      <c r="AS32" s="33" t="str">
        <f t="shared" si="1"/>
        <v/>
      </c>
      <c r="AT32" s="33" t="str">
        <f t="shared" si="1"/>
        <v/>
      </c>
      <c r="AU32" s="33" t="str">
        <f t="shared" si="1"/>
        <v/>
      </c>
      <c r="AV32" s="33" t="str">
        <f t="shared" si="1"/>
        <v/>
      </c>
      <c r="AW32" s="33" t="str">
        <f t="shared" si="1"/>
        <v/>
      </c>
      <c r="AX32" s="33" t="str">
        <f t="shared" si="1"/>
        <v/>
      </c>
      <c r="AY32" s="33" t="str">
        <f t="shared" si="1"/>
        <v/>
      </c>
      <c r="AZ32" s="33" t="str">
        <f t="shared" si="1"/>
        <v/>
      </c>
      <c r="BA32" s="33" t="str">
        <f t="shared" si="1"/>
        <v/>
      </c>
      <c r="BB32" s="33" t="str">
        <f t="shared" si="1"/>
        <v/>
      </c>
      <c r="BC32" s="33" t="str">
        <f t="shared" si="1"/>
        <v/>
      </c>
      <c r="BD32" s="34" t="str">
        <f t="shared" si="1"/>
        <v/>
      </c>
    </row>
    <row r="33" spans="1:147" ht="13" x14ac:dyDescent="0.3">
      <c r="A33" s="62" t="str">
        <f>MID(A$20,27,2) &amp; MID(A$20,25,2)</f>
        <v>F000</v>
      </c>
      <c r="B33" s="87">
        <f>_xlfn.BITAND(1, _xlfn.BITRSHIFT(HEX2DEC($A33),C$26))</f>
        <v>1</v>
      </c>
      <c r="C33" s="88">
        <f>_xlfn.BITAND(1, _xlfn.BITRSHIFT(HEX2DEC($A33),D$26))</f>
        <v>1</v>
      </c>
      <c r="D33" s="88">
        <f>_xlfn.BITAND(1, _xlfn.BITRSHIFT(HEX2DEC($A33),E$26))</f>
        <v>1</v>
      </c>
      <c r="E33" s="88">
        <f>_xlfn.BITAND(1, _xlfn.BITRSHIFT(HEX2DEC($A33),F$26))</f>
        <v>1</v>
      </c>
      <c r="F33" s="88">
        <f>_xlfn.BITAND(1, _xlfn.BITRSHIFT(HEX2DEC($A33),G$26))</f>
        <v>0</v>
      </c>
      <c r="G33" s="88">
        <f>_xlfn.BITAND(1, _xlfn.BITRSHIFT(HEX2DEC($A33),H$26))</f>
        <v>0</v>
      </c>
      <c r="H33" s="88">
        <f>_xlfn.BITAND(1, _xlfn.BITRSHIFT(HEX2DEC($A33),I$26))</f>
        <v>0</v>
      </c>
      <c r="I33" s="88">
        <f>_xlfn.BITAND(1, _xlfn.BITRSHIFT(HEX2DEC($A33),J$26))</f>
        <v>0</v>
      </c>
      <c r="J33" s="88">
        <f>_xlfn.BITAND(1, _xlfn.BITRSHIFT(HEX2DEC($A33),K$26))</f>
        <v>0</v>
      </c>
      <c r="K33" s="88">
        <f>_xlfn.BITAND(1, _xlfn.BITRSHIFT(HEX2DEC($A33),L$26))</f>
        <v>0</v>
      </c>
      <c r="L33" s="88">
        <f>_xlfn.BITAND(1, _xlfn.BITRSHIFT(HEX2DEC($A33),M$26))</f>
        <v>0</v>
      </c>
      <c r="M33" s="88">
        <f>_xlfn.BITAND(1, _xlfn.BITRSHIFT(HEX2DEC($A33),N$26))</f>
        <v>0</v>
      </c>
      <c r="N33" s="88">
        <f>_xlfn.BITAND(1, _xlfn.BITRSHIFT(HEX2DEC($A33),O$26))</f>
        <v>0</v>
      </c>
      <c r="O33" s="88">
        <f>_xlfn.BITAND(1, _xlfn.BITRSHIFT(HEX2DEC($A33),P$26))</f>
        <v>0</v>
      </c>
      <c r="P33" s="88">
        <f>_xlfn.BITAND(1, _xlfn.BITRSHIFT(HEX2DEC($A33),Q$26))</f>
        <v>0</v>
      </c>
      <c r="Q33" s="89">
        <f>_xlfn.BITAND(1, _xlfn.BITRSHIFT(HEX2DEC($A33),R$26))</f>
        <v>0</v>
      </c>
      <c r="S33" s="38"/>
      <c r="T33" s="38"/>
      <c r="U33" s="19" t="str">
        <f t="shared" si="2"/>
        <v/>
      </c>
      <c r="V33" s="20" t="str">
        <f t="shared" si="0"/>
        <v/>
      </c>
      <c r="W33" s="20" t="str">
        <f t="shared" si="0"/>
        <v/>
      </c>
      <c r="X33" s="20" t="str">
        <f t="shared" si="0"/>
        <v/>
      </c>
      <c r="Y33" s="20" t="str">
        <f t="shared" si="0"/>
        <v/>
      </c>
      <c r="Z33" s="20" t="str">
        <f t="shared" si="0"/>
        <v/>
      </c>
      <c r="AA33" s="20" t="str">
        <f t="shared" si="0"/>
        <v/>
      </c>
      <c r="AB33" s="20" t="str">
        <f t="shared" si="0"/>
        <v/>
      </c>
      <c r="AC33" s="20" t="str">
        <f t="shared" si="0"/>
        <v/>
      </c>
      <c r="AD33" s="20" t="str">
        <f t="shared" si="0"/>
        <v/>
      </c>
      <c r="AE33" s="20" t="str">
        <f t="shared" si="0"/>
        <v/>
      </c>
      <c r="AF33" s="20" t="str">
        <f t="shared" si="0"/>
        <v/>
      </c>
      <c r="AG33" s="20" t="str">
        <f t="shared" si="0"/>
        <v/>
      </c>
      <c r="AH33" s="20" t="str">
        <f t="shared" si="0"/>
        <v/>
      </c>
      <c r="AI33" s="20" t="str">
        <f t="shared" si="0"/>
        <v/>
      </c>
      <c r="AJ33" s="21" t="str">
        <f t="shared" si="0"/>
        <v/>
      </c>
      <c r="AK33" s="38"/>
      <c r="AO33" s="32" t="str">
        <f t="shared" si="3"/>
        <v/>
      </c>
      <c r="AP33" s="33" t="str">
        <f t="shared" si="1"/>
        <v/>
      </c>
      <c r="AQ33" s="33" t="str">
        <f t="shared" si="1"/>
        <v/>
      </c>
      <c r="AR33" s="33" t="str">
        <f t="shared" si="1"/>
        <v/>
      </c>
      <c r="AS33" s="33" t="str">
        <f t="shared" si="1"/>
        <v/>
      </c>
      <c r="AT33" s="33" t="str">
        <f t="shared" si="1"/>
        <v/>
      </c>
      <c r="AU33" s="33" t="str">
        <f t="shared" si="1"/>
        <v/>
      </c>
      <c r="AV33" s="33" t="str">
        <f t="shared" si="1"/>
        <v/>
      </c>
      <c r="AW33" s="33" t="str">
        <f t="shared" si="1"/>
        <v/>
      </c>
      <c r="AX33" s="33" t="str">
        <f t="shared" si="1"/>
        <v/>
      </c>
      <c r="AY33" s="33" t="str">
        <f t="shared" si="1"/>
        <v/>
      </c>
      <c r="AZ33" s="33" t="str">
        <f t="shared" si="1"/>
        <v/>
      </c>
      <c r="BA33" s="33" t="str">
        <f t="shared" si="1"/>
        <v/>
      </c>
      <c r="BB33" s="33" t="str">
        <f t="shared" si="1"/>
        <v/>
      </c>
      <c r="BC33" s="33" t="str">
        <f t="shared" si="1"/>
        <v/>
      </c>
      <c r="BD33" s="34" t="str">
        <f t="shared" si="1"/>
        <v/>
      </c>
    </row>
    <row r="34" spans="1:147" ht="13" x14ac:dyDescent="0.3">
      <c r="A34" s="62" t="str">
        <f>MID(A$20,31,2) &amp; MID(A$20,29,2)</f>
        <v>F000</v>
      </c>
      <c r="B34" s="87">
        <f>_xlfn.BITAND(1, _xlfn.BITRSHIFT(HEX2DEC($A34),C$26))</f>
        <v>1</v>
      </c>
      <c r="C34" s="88">
        <f>_xlfn.BITAND(1, _xlfn.BITRSHIFT(HEX2DEC($A34),D$26))</f>
        <v>1</v>
      </c>
      <c r="D34" s="88">
        <f>_xlfn.BITAND(1, _xlfn.BITRSHIFT(HEX2DEC($A34),E$26))</f>
        <v>1</v>
      </c>
      <c r="E34" s="88">
        <f>_xlfn.BITAND(1, _xlfn.BITRSHIFT(HEX2DEC($A34),F$26))</f>
        <v>1</v>
      </c>
      <c r="F34" s="88">
        <f>_xlfn.BITAND(1, _xlfn.BITRSHIFT(HEX2DEC($A34),G$26))</f>
        <v>0</v>
      </c>
      <c r="G34" s="88">
        <f>_xlfn.BITAND(1, _xlfn.BITRSHIFT(HEX2DEC($A34),H$26))</f>
        <v>0</v>
      </c>
      <c r="H34" s="88">
        <f>_xlfn.BITAND(1, _xlfn.BITRSHIFT(HEX2DEC($A34),I$26))</f>
        <v>0</v>
      </c>
      <c r="I34" s="88">
        <f>_xlfn.BITAND(1, _xlfn.BITRSHIFT(HEX2DEC($A34),J$26))</f>
        <v>0</v>
      </c>
      <c r="J34" s="88">
        <f>_xlfn.BITAND(1, _xlfn.BITRSHIFT(HEX2DEC($A34),K$26))</f>
        <v>0</v>
      </c>
      <c r="K34" s="88">
        <f>_xlfn.BITAND(1, _xlfn.BITRSHIFT(HEX2DEC($A34),L$26))</f>
        <v>0</v>
      </c>
      <c r="L34" s="88">
        <f>_xlfn.BITAND(1, _xlfn.BITRSHIFT(HEX2DEC($A34),M$26))</f>
        <v>0</v>
      </c>
      <c r="M34" s="88">
        <f>_xlfn.BITAND(1, _xlfn.BITRSHIFT(HEX2DEC($A34),N$26))</f>
        <v>0</v>
      </c>
      <c r="N34" s="88">
        <f>_xlfn.BITAND(1, _xlfn.BITRSHIFT(HEX2DEC($A34),O$26))</f>
        <v>0</v>
      </c>
      <c r="O34" s="88">
        <f>_xlfn.BITAND(1, _xlfn.BITRSHIFT(HEX2DEC($A34),P$26))</f>
        <v>0</v>
      </c>
      <c r="P34" s="88">
        <f>_xlfn.BITAND(1, _xlfn.BITRSHIFT(HEX2DEC($A34),Q$26))</f>
        <v>0</v>
      </c>
      <c r="Q34" s="89">
        <f>_xlfn.BITAND(1, _xlfn.BITRSHIFT(HEX2DEC($A34),R$26))</f>
        <v>0</v>
      </c>
      <c r="S34" s="38"/>
      <c r="T34" s="38"/>
      <c r="U34" s="19" t="str">
        <f t="shared" si="2"/>
        <v/>
      </c>
      <c r="V34" s="20" t="str">
        <f t="shared" si="0"/>
        <v/>
      </c>
      <c r="W34" s="20" t="str">
        <f t="shared" si="0"/>
        <v/>
      </c>
      <c r="X34" s="20" t="str">
        <f t="shared" si="0"/>
        <v/>
      </c>
      <c r="Y34" s="20" t="str">
        <f t="shared" si="0"/>
        <v/>
      </c>
      <c r="Z34" s="20" t="str">
        <f t="shared" si="0"/>
        <v/>
      </c>
      <c r="AA34" s="20" t="str">
        <f t="shared" si="0"/>
        <v/>
      </c>
      <c r="AB34" s="20" t="str">
        <f t="shared" si="0"/>
        <v/>
      </c>
      <c r="AC34" s="20" t="str">
        <f t="shared" si="0"/>
        <v/>
      </c>
      <c r="AD34" s="20" t="str">
        <f t="shared" si="0"/>
        <v/>
      </c>
      <c r="AE34" s="20" t="str">
        <f t="shared" si="0"/>
        <v/>
      </c>
      <c r="AF34" s="20" t="str">
        <f t="shared" si="0"/>
        <v/>
      </c>
      <c r="AG34" s="20" t="str">
        <f t="shared" si="0"/>
        <v/>
      </c>
      <c r="AH34" s="20" t="str">
        <f t="shared" si="0"/>
        <v/>
      </c>
      <c r="AI34" s="20" t="str">
        <f t="shared" si="0"/>
        <v/>
      </c>
      <c r="AJ34" s="21" t="str">
        <f t="shared" si="0"/>
        <v/>
      </c>
      <c r="AK34" s="38"/>
      <c r="AO34" s="32" t="str">
        <f t="shared" si="3"/>
        <v/>
      </c>
      <c r="AP34" s="33" t="str">
        <f t="shared" si="1"/>
        <v/>
      </c>
      <c r="AQ34" s="33" t="str">
        <f t="shared" si="1"/>
        <v/>
      </c>
      <c r="AR34" s="33" t="str">
        <f t="shared" si="1"/>
        <v/>
      </c>
      <c r="AS34" s="33" t="str">
        <f t="shared" si="1"/>
        <v/>
      </c>
      <c r="AT34" s="33" t="str">
        <f t="shared" si="1"/>
        <v/>
      </c>
      <c r="AU34" s="33" t="str">
        <f t="shared" si="1"/>
        <v/>
      </c>
      <c r="AV34" s="33" t="str">
        <f t="shared" si="1"/>
        <v/>
      </c>
      <c r="AW34" s="33" t="str">
        <f t="shared" si="1"/>
        <v/>
      </c>
      <c r="AX34" s="33" t="str">
        <f t="shared" si="1"/>
        <v/>
      </c>
      <c r="AY34" s="33" t="str">
        <f t="shared" si="1"/>
        <v/>
      </c>
      <c r="AZ34" s="33" t="str">
        <f t="shared" si="1"/>
        <v/>
      </c>
      <c r="BA34" s="33" t="str">
        <f t="shared" si="1"/>
        <v/>
      </c>
      <c r="BB34" s="33" t="str">
        <f t="shared" si="1"/>
        <v/>
      </c>
      <c r="BC34" s="33" t="str">
        <f t="shared" si="1"/>
        <v/>
      </c>
      <c r="BD34" s="34" t="str">
        <f t="shared" si="1"/>
        <v/>
      </c>
    </row>
    <row r="35" spans="1:147" ht="13" x14ac:dyDescent="0.3">
      <c r="A35" s="62" t="str">
        <f>MID(A$20,35,2) &amp; MID(A$20,33,2)</f>
        <v>F000</v>
      </c>
      <c r="B35" s="87">
        <f>_xlfn.BITAND(1, _xlfn.BITRSHIFT(HEX2DEC($A35),C$26))</f>
        <v>1</v>
      </c>
      <c r="C35" s="88">
        <f>_xlfn.BITAND(1, _xlfn.BITRSHIFT(HEX2DEC($A35),D$26))</f>
        <v>1</v>
      </c>
      <c r="D35" s="88">
        <f>_xlfn.BITAND(1, _xlfn.BITRSHIFT(HEX2DEC($A35),E$26))</f>
        <v>1</v>
      </c>
      <c r="E35" s="88">
        <f>_xlfn.BITAND(1, _xlfn.BITRSHIFT(HEX2DEC($A35),F$26))</f>
        <v>1</v>
      </c>
      <c r="F35" s="88">
        <f>_xlfn.BITAND(1, _xlfn.BITRSHIFT(HEX2DEC($A35),G$26))</f>
        <v>0</v>
      </c>
      <c r="G35" s="88">
        <f>_xlfn.BITAND(1, _xlfn.BITRSHIFT(HEX2DEC($A35),H$26))</f>
        <v>0</v>
      </c>
      <c r="H35" s="88">
        <f>_xlfn.BITAND(1, _xlfn.BITRSHIFT(HEX2DEC($A35),I$26))</f>
        <v>0</v>
      </c>
      <c r="I35" s="88">
        <f>_xlfn.BITAND(1, _xlfn.BITRSHIFT(HEX2DEC($A35),J$26))</f>
        <v>0</v>
      </c>
      <c r="J35" s="88">
        <f>_xlfn.BITAND(1, _xlfn.BITRSHIFT(HEX2DEC($A35),K$26))</f>
        <v>0</v>
      </c>
      <c r="K35" s="88">
        <f>_xlfn.BITAND(1, _xlfn.BITRSHIFT(HEX2DEC($A35),L$26))</f>
        <v>0</v>
      </c>
      <c r="L35" s="88">
        <f>_xlfn.BITAND(1, _xlfn.BITRSHIFT(HEX2DEC($A35),M$26))</f>
        <v>0</v>
      </c>
      <c r="M35" s="88">
        <f>_xlfn.BITAND(1, _xlfn.BITRSHIFT(HEX2DEC($A35),N$26))</f>
        <v>0</v>
      </c>
      <c r="N35" s="88">
        <f>_xlfn.BITAND(1, _xlfn.BITRSHIFT(HEX2DEC($A35),O$26))</f>
        <v>0</v>
      </c>
      <c r="O35" s="88">
        <f>_xlfn.BITAND(1, _xlfn.BITRSHIFT(HEX2DEC($A35),P$26))</f>
        <v>0</v>
      </c>
      <c r="P35" s="88">
        <f>_xlfn.BITAND(1, _xlfn.BITRSHIFT(HEX2DEC($A35),Q$26))</f>
        <v>0</v>
      </c>
      <c r="Q35" s="89">
        <f>_xlfn.BITAND(1, _xlfn.BITRSHIFT(HEX2DEC($A35),R$26))</f>
        <v>0</v>
      </c>
      <c r="S35" s="38"/>
      <c r="T35" s="38"/>
      <c r="U35" s="19" t="str">
        <f t="shared" si="2"/>
        <v/>
      </c>
      <c r="V35" s="20" t="str">
        <f t="shared" si="0"/>
        <v/>
      </c>
      <c r="W35" s="20" t="str">
        <f t="shared" si="0"/>
        <v/>
      </c>
      <c r="X35" s="20" t="str">
        <f t="shared" si="0"/>
        <v/>
      </c>
      <c r="Y35" s="20" t="str">
        <f t="shared" si="0"/>
        <v/>
      </c>
      <c r="Z35" s="20" t="str">
        <f t="shared" si="0"/>
        <v/>
      </c>
      <c r="AA35" s="20" t="str">
        <f t="shared" si="0"/>
        <v/>
      </c>
      <c r="AB35" s="20" t="str">
        <f t="shared" si="0"/>
        <v/>
      </c>
      <c r="AC35" s="20" t="str">
        <f t="shared" si="0"/>
        <v/>
      </c>
      <c r="AD35" s="20" t="str">
        <f t="shared" si="0"/>
        <v/>
      </c>
      <c r="AE35" s="20" t="str">
        <f t="shared" si="0"/>
        <v/>
      </c>
      <c r="AF35" s="20" t="str">
        <f t="shared" si="0"/>
        <v/>
      </c>
      <c r="AG35" s="20" t="str">
        <f t="shared" si="0"/>
        <v/>
      </c>
      <c r="AH35" s="20" t="str">
        <f t="shared" si="0"/>
        <v/>
      </c>
      <c r="AI35" s="20" t="str">
        <f t="shared" si="0"/>
        <v/>
      </c>
      <c r="AJ35" s="21" t="str">
        <f t="shared" si="0"/>
        <v/>
      </c>
      <c r="AK35" s="38"/>
      <c r="AO35" s="32" t="str">
        <f t="shared" si="3"/>
        <v/>
      </c>
      <c r="AP35" s="33" t="str">
        <f t="shared" si="1"/>
        <v/>
      </c>
      <c r="AQ35" s="33" t="str">
        <f t="shared" si="1"/>
        <v/>
      </c>
      <c r="AR35" s="33" t="str">
        <f t="shared" si="1"/>
        <v/>
      </c>
      <c r="AS35" s="33" t="str">
        <f t="shared" si="1"/>
        <v/>
      </c>
      <c r="AT35" s="33" t="str">
        <f t="shared" si="1"/>
        <v/>
      </c>
      <c r="AU35" s="33" t="str">
        <f t="shared" si="1"/>
        <v/>
      </c>
      <c r="AV35" s="33" t="str">
        <f t="shared" si="1"/>
        <v/>
      </c>
      <c r="AW35" s="33" t="str">
        <f t="shared" si="1"/>
        <v/>
      </c>
      <c r="AX35" s="33" t="str">
        <f t="shared" si="1"/>
        <v/>
      </c>
      <c r="AY35" s="33" t="str">
        <f t="shared" si="1"/>
        <v/>
      </c>
      <c r="AZ35" s="33" t="str">
        <f t="shared" si="1"/>
        <v/>
      </c>
      <c r="BA35" s="33" t="str">
        <f t="shared" si="1"/>
        <v/>
      </c>
      <c r="BB35" s="33" t="str">
        <f t="shared" si="1"/>
        <v/>
      </c>
      <c r="BC35" s="33" t="str">
        <f t="shared" si="1"/>
        <v/>
      </c>
      <c r="BD35" s="34" t="str">
        <f t="shared" si="1"/>
        <v/>
      </c>
    </row>
    <row r="36" spans="1:147" ht="13" x14ac:dyDescent="0.3">
      <c r="A36" s="62" t="str">
        <f>MID(A$20,39,2) &amp; MID(A$20,37,2)</f>
        <v>9000</v>
      </c>
      <c r="B36" s="87">
        <f>_xlfn.BITAND(1, _xlfn.BITRSHIFT(HEX2DEC($A36),C$26))</f>
        <v>1</v>
      </c>
      <c r="C36" s="88">
        <f>_xlfn.BITAND(1, _xlfn.BITRSHIFT(HEX2DEC($A36),D$26))</f>
        <v>0</v>
      </c>
      <c r="D36" s="88">
        <f>_xlfn.BITAND(1, _xlfn.BITRSHIFT(HEX2DEC($A36),E$26))</f>
        <v>0</v>
      </c>
      <c r="E36" s="88">
        <f>_xlfn.BITAND(1, _xlfn.BITRSHIFT(HEX2DEC($A36),F$26))</f>
        <v>1</v>
      </c>
      <c r="F36" s="88">
        <f>_xlfn.BITAND(1, _xlfn.BITRSHIFT(HEX2DEC($A36),G$26))</f>
        <v>0</v>
      </c>
      <c r="G36" s="88">
        <f>_xlfn.BITAND(1, _xlfn.BITRSHIFT(HEX2DEC($A36),H$26))</f>
        <v>0</v>
      </c>
      <c r="H36" s="88">
        <f>_xlfn.BITAND(1, _xlfn.BITRSHIFT(HEX2DEC($A36),I$26))</f>
        <v>0</v>
      </c>
      <c r="I36" s="88">
        <f>_xlfn.BITAND(1, _xlfn.BITRSHIFT(HEX2DEC($A36),J$26))</f>
        <v>0</v>
      </c>
      <c r="J36" s="88">
        <f>_xlfn.BITAND(1, _xlfn.BITRSHIFT(HEX2DEC($A36),K$26))</f>
        <v>0</v>
      </c>
      <c r="K36" s="88">
        <f>_xlfn.BITAND(1, _xlfn.BITRSHIFT(HEX2DEC($A36),L$26))</f>
        <v>0</v>
      </c>
      <c r="L36" s="88">
        <f>_xlfn.BITAND(1, _xlfn.BITRSHIFT(HEX2DEC($A36),M$26))</f>
        <v>0</v>
      </c>
      <c r="M36" s="88">
        <f>_xlfn.BITAND(1, _xlfn.BITRSHIFT(HEX2DEC($A36),N$26))</f>
        <v>0</v>
      </c>
      <c r="N36" s="88">
        <f>_xlfn.BITAND(1, _xlfn.BITRSHIFT(HEX2DEC($A36),O$26))</f>
        <v>0</v>
      </c>
      <c r="O36" s="88">
        <f>_xlfn.BITAND(1, _xlfn.BITRSHIFT(HEX2DEC($A36),P$26))</f>
        <v>0</v>
      </c>
      <c r="P36" s="88">
        <f>_xlfn.BITAND(1, _xlfn.BITRSHIFT(HEX2DEC($A36),Q$26))</f>
        <v>0</v>
      </c>
      <c r="Q36" s="89">
        <f>_xlfn.BITAND(1, _xlfn.BITRSHIFT(HEX2DEC($A36),R$26))</f>
        <v>0</v>
      </c>
      <c r="S36" s="38"/>
      <c r="T36" s="38"/>
      <c r="U36" s="19" t="str">
        <f t="shared" si="2"/>
        <v/>
      </c>
      <c r="V36" s="20" t="str">
        <f t="shared" si="0"/>
        <v/>
      </c>
      <c r="W36" s="20" t="str">
        <f t="shared" si="0"/>
        <v/>
      </c>
      <c r="X36" s="20" t="str">
        <f t="shared" si="0"/>
        <v/>
      </c>
      <c r="Y36" s="20" t="str">
        <f t="shared" si="0"/>
        <v/>
      </c>
      <c r="Z36" s="20" t="str">
        <f t="shared" si="0"/>
        <v/>
      </c>
      <c r="AA36" s="20" t="str">
        <f t="shared" si="0"/>
        <v/>
      </c>
      <c r="AB36" s="20" t="str">
        <f t="shared" si="0"/>
        <v/>
      </c>
      <c r="AC36" s="20" t="str">
        <f t="shared" si="0"/>
        <v/>
      </c>
      <c r="AD36" s="20" t="str">
        <f t="shared" si="0"/>
        <v/>
      </c>
      <c r="AE36" s="20" t="str">
        <f t="shared" si="0"/>
        <v/>
      </c>
      <c r="AF36" s="20" t="str">
        <f t="shared" si="0"/>
        <v/>
      </c>
      <c r="AG36" s="20" t="str">
        <f t="shared" si="0"/>
        <v/>
      </c>
      <c r="AH36" s="20" t="str">
        <f t="shared" si="0"/>
        <v/>
      </c>
      <c r="AI36" s="20" t="str">
        <f t="shared" si="0"/>
        <v/>
      </c>
      <c r="AJ36" s="21" t="str">
        <f t="shared" si="0"/>
        <v/>
      </c>
      <c r="AK36" s="38"/>
      <c r="AO36" s="32" t="str">
        <f t="shared" si="3"/>
        <v/>
      </c>
      <c r="AP36" s="33" t="str">
        <f t="shared" si="1"/>
        <v/>
      </c>
      <c r="AQ36" s="33" t="str">
        <f t="shared" si="1"/>
        <v/>
      </c>
      <c r="AR36" s="33" t="str">
        <f t="shared" si="1"/>
        <v/>
      </c>
      <c r="AS36" s="33" t="str">
        <f t="shared" si="1"/>
        <v/>
      </c>
      <c r="AT36" s="33" t="str">
        <f t="shared" si="1"/>
        <v/>
      </c>
      <c r="AU36" s="33" t="str">
        <f t="shared" si="1"/>
        <v/>
      </c>
      <c r="AV36" s="33" t="str">
        <f t="shared" si="1"/>
        <v/>
      </c>
      <c r="AW36" s="33" t="str">
        <f t="shared" si="1"/>
        <v/>
      </c>
      <c r="AX36" s="33" t="str">
        <f t="shared" si="1"/>
        <v/>
      </c>
      <c r="AY36" s="33" t="str">
        <f t="shared" si="1"/>
        <v/>
      </c>
      <c r="AZ36" s="33" t="str">
        <f t="shared" si="1"/>
        <v/>
      </c>
      <c r="BA36" s="33" t="str">
        <f t="shared" si="1"/>
        <v/>
      </c>
      <c r="BB36" s="33" t="str">
        <f t="shared" si="1"/>
        <v/>
      </c>
      <c r="BC36" s="33" t="str">
        <f t="shared" si="1"/>
        <v/>
      </c>
      <c r="BD36" s="34" t="str">
        <f t="shared" si="1"/>
        <v/>
      </c>
      <c r="EQ36" s="22"/>
    </row>
    <row r="37" spans="1:147" ht="13" x14ac:dyDescent="0.3">
      <c r="A37" s="62" t="str">
        <f>MID(A$20,43,2) &amp; MID(A$20,41,2)</f>
        <v>0000</v>
      </c>
      <c r="B37" s="87">
        <f>_xlfn.BITAND(1, _xlfn.BITRSHIFT(HEX2DEC($A37),C$26))</f>
        <v>0</v>
      </c>
      <c r="C37" s="88">
        <f>_xlfn.BITAND(1, _xlfn.BITRSHIFT(HEX2DEC($A37),D$26))</f>
        <v>0</v>
      </c>
      <c r="D37" s="88">
        <f>_xlfn.BITAND(1, _xlfn.BITRSHIFT(HEX2DEC($A37),E$26))</f>
        <v>0</v>
      </c>
      <c r="E37" s="88">
        <f>_xlfn.BITAND(1, _xlfn.BITRSHIFT(HEX2DEC($A37),F$26))</f>
        <v>0</v>
      </c>
      <c r="F37" s="88">
        <f>_xlfn.BITAND(1, _xlfn.BITRSHIFT(HEX2DEC($A37),G$26))</f>
        <v>0</v>
      </c>
      <c r="G37" s="88">
        <f>_xlfn.BITAND(1, _xlfn.BITRSHIFT(HEX2DEC($A37),H$26))</f>
        <v>0</v>
      </c>
      <c r="H37" s="88">
        <f>_xlfn.BITAND(1, _xlfn.BITRSHIFT(HEX2DEC($A37),I$26))</f>
        <v>0</v>
      </c>
      <c r="I37" s="88">
        <f>_xlfn.BITAND(1, _xlfn.BITRSHIFT(HEX2DEC($A37),J$26))</f>
        <v>0</v>
      </c>
      <c r="J37" s="88">
        <f>_xlfn.BITAND(1, _xlfn.BITRSHIFT(HEX2DEC($A37),K$26))</f>
        <v>0</v>
      </c>
      <c r="K37" s="88">
        <f>_xlfn.BITAND(1, _xlfn.BITRSHIFT(HEX2DEC($A37),L$26))</f>
        <v>0</v>
      </c>
      <c r="L37" s="88">
        <f>_xlfn.BITAND(1, _xlfn.BITRSHIFT(HEX2DEC($A37),M$26))</f>
        <v>0</v>
      </c>
      <c r="M37" s="88">
        <f>_xlfn.BITAND(1, _xlfn.BITRSHIFT(HEX2DEC($A37),N$26))</f>
        <v>0</v>
      </c>
      <c r="N37" s="88">
        <f>_xlfn.BITAND(1, _xlfn.BITRSHIFT(HEX2DEC($A37),O$26))</f>
        <v>0</v>
      </c>
      <c r="O37" s="88">
        <f>_xlfn.BITAND(1, _xlfn.BITRSHIFT(HEX2DEC($A37),P$26))</f>
        <v>0</v>
      </c>
      <c r="P37" s="88">
        <f>_xlfn.BITAND(1, _xlfn.BITRSHIFT(HEX2DEC($A37),Q$26))</f>
        <v>0</v>
      </c>
      <c r="Q37" s="89">
        <f>_xlfn.BITAND(1, _xlfn.BITRSHIFT(HEX2DEC($A37),R$26))</f>
        <v>0</v>
      </c>
      <c r="S37" s="38"/>
      <c r="T37" s="38"/>
      <c r="U37" s="19" t="str">
        <f t="shared" si="2"/>
        <v/>
      </c>
      <c r="V37" s="20" t="str">
        <f t="shared" si="0"/>
        <v/>
      </c>
      <c r="W37" s="20" t="str">
        <f t="shared" si="0"/>
        <v/>
      </c>
      <c r="X37" s="20" t="str">
        <f t="shared" si="0"/>
        <v/>
      </c>
      <c r="Y37" s="20" t="str">
        <f t="shared" si="0"/>
        <v/>
      </c>
      <c r="Z37" s="20" t="str">
        <f t="shared" si="0"/>
        <v/>
      </c>
      <c r="AA37" s="20" t="str">
        <f t="shared" si="0"/>
        <v/>
      </c>
      <c r="AB37" s="20" t="str">
        <f t="shared" si="0"/>
        <v/>
      </c>
      <c r="AC37" s="20" t="str">
        <f t="shared" si="0"/>
        <v/>
      </c>
      <c r="AD37" s="20" t="str">
        <f t="shared" si="0"/>
        <v/>
      </c>
      <c r="AE37" s="20" t="str">
        <f t="shared" si="0"/>
        <v/>
      </c>
      <c r="AF37" s="20" t="str">
        <f t="shared" si="0"/>
        <v/>
      </c>
      <c r="AG37" s="20" t="str">
        <f t="shared" si="0"/>
        <v/>
      </c>
      <c r="AH37" s="20" t="str">
        <f t="shared" si="0"/>
        <v/>
      </c>
      <c r="AI37" s="20" t="str">
        <f t="shared" si="0"/>
        <v/>
      </c>
      <c r="AJ37" s="21" t="str">
        <f t="shared" si="0"/>
        <v/>
      </c>
      <c r="AK37" s="38"/>
      <c r="AO37" s="32" t="str">
        <f t="shared" si="3"/>
        <v/>
      </c>
      <c r="AP37" s="33" t="str">
        <f t="shared" si="1"/>
        <v/>
      </c>
      <c r="AQ37" s="33" t="str">
        <f t="shared" si="1"/>
        <v/>
      </c>
      <c r="AR37" s="33" t="str">
        <f t="shared" si="1"/>
        <v/>
      </c>
      <c r="AS37" s="33" t="str">
        <f t="shared" si="1"/>
        <v/>
      </c>
      <c r="AT37" s="33" t="str">
        <f t="shared" si="1"/>
        <v/>
      </c>
      <c r="AU37" s="33" t="str">
        <f t="shared" si="1"/>
        <v/>
      </c>
      <c r="AV37" s="33" t="str">
        <f t="shared" si="1"/>
        <v/>
      </c>
      <c r="AW37" s="33" t="str">
        <f t="shared" si="1"/>
        <v/>
      </c>
      <c r="AX37" s="33" t="str">
        <f t="shared" si="1"/>
        <v/>
      </c>
      <c r="AY37" s="33" t="str">
        <f t="shared" si="1"/>
        <v/>
      </c>
      <c r="AZ37" s="33" t="str">
        <f t="shared" si="1"/>
        <v/>
      </c>
      <c r="BA37" s="33" t="str">
        <f t="shared" si="1"/>
        <v/>
      </c>
      <c r="BB37" s="33" t="str">
        <f t="shared" si="1"/>
        <v/>
      </c>
      <c r="BC37" s="33" t="str">
        <f t="shared" si="1"/>
        <v/>
      </c>
      <c r="BD37" s="34" t="str">
        <f t="shared" si="1"/>
        <v/>
      </c>
    </row>
    <row r="38" spans="1:147" ht="13" x14ac:dyDescent="0.3">
      <c r="A38" s="62" t="str">
        <f>MID(A$20,47,2) &amp; MID(A$20,45,2)</f>
        <v>0000</v>
      </c>
      <c r="B38" s="87">
        <f>_xlfn.BITAND(1, _xlfn.BITRSHIFT(HEX2DEC($A38),C$26))</f>
        <v>0</v>
      </c>
      <c r="C38" s="88">
        <f>_xlfn.BITAND(1, _xlfn.BITRSHIFT(HEX2DEC($A38),D$26))</f>
        <v>0</v>
      </c>
      <c r="D38" s="88">
        <f>_xlfn.BITAND(1, _xlfn.BITRSHIFT(HEX2DEC($A38),E$26))</f>
        <v>0</v>
      </c>
      <c r="E38" s="88">
        <f>_xlfn.BITAND(1, _xlfn.BITRSHIFT(HEX2DEC($A38),F$26))</f>
        <v>0</v>
      </c>
      <c r="F38" s="88">
        <f>_xlfn.BITAND(1, _xlfn.BITRSHIFT(HEX2DEC($A38),G$26))</f>
        <v>0</v>
      </c>
      <c r="G38" s="88">
        <f>_xlfn.BITAND(1, _xlfn.BITRSHIFT(HEX2DEC($A38),H$26))</f>
        <v>0</v>
      </c>
      <c r="H38" s="88">
        <f>_xlfn.BITAND(1, _xlfn.BITRSHIFT(HEX2DEC($A38),I$26))</f>
        <v>0</v>
      </c>
      <c r="I38" s="88">
        <f>_xlfn.BITAND(1, _xlfn.BITRSHIFT(HEX2DEC($A38),J$26))</f>
        <v>0</v>
      </c>
      <c r="J38" s="88">
        <f>_xlfn.BITAND(1, _xlfn.BITRSHIFT(HEX2DEC($A38),K$26))</f>
        <v>0</v>
      </c>
      <c r="K38" s="88">
        <f>_xlfn.BITAND(1, _xlfn.BITRSHIFT(HEX2DEC($A38),L$26))</f>
        <v>0</v>
      </c>
      <c r="L38" s="88">
        <f>_xlfn.BITAND(1, _xlfn.BITRSHIFT(HEX2DEC($A38),M$26))</f>
        <v>0</v>
      </c>
      <c r="M38" s="88">
        <f>_xlfn.BITAND(1, _xlfn.BITRSHIFT(HEX2DEC($A38),N$26))</f>
        <v>0</v>
      </c>
      <c r="N38" s="88">
        <f>_xlfn.BITAND(1, _xlfn.BITRSHIFT(HEX2DEC($A38),O$26))</f>
        <v>0</v>
      </c>
      <c r="O38" s="88">
        <f>_xlfn.BITAND(1, _xlfn.BITRSHIFT(HEX2DEC($A38),P$26))</f>
        <v>0</v>
      </c>
      <c r="P38" s="88">
        <f>_xlfn.BITAND(1, _xlfn.BITRSHIFT(HEX2DEC($A38),Q$26))</f>
        <v>0</v>
      </c>
      <c r="Q38" s="89">
        <f>_xlfn.BITAND(1, _xlfn.BITRSHIFT(HEX2DEC($A38),R$26))</f>
        <v>0</v>
      </c>
      <c r="S38" s="38"/>
      <c r="T38" s="38"/>
      <c r="U38" s="19" t="str">
        <f t="shared" si="2"/>
        <v/>
      </c>
      <c r="V38" s="20" t="str">
        <f t="shared" si="0"/>
        <v/>
      </c>
      <c r="W38" s="20" t="str">
        <f t="shared" si="0"/>
        <v/>
      </c>
      <c r="X38" s="20" t="str">
        <f t="shared" si="0"/>
        <v/>
      </c>
      <c r="Y38" s="20" t="str">
        <f t="shared" si="0"/>
        <v/>
      </c>
      <c r="Z38" s="20" t="str">
        <f t="shared" si="0"/>
        <v/>
      </c>
      <c r="AA38" s="20" t="str">
        <f t="shared" si="0"/>
        <v/>
      </c>
      <c r="AB38" s="20" t="str">
        <f t="shared" si="0"/>
        <v/>
      </c>
      <c r="AC38" s="20" t="str">
        <f t="shared" si="0"/>
        <v/>
      </c>
      <c r="AD38" s="20" t="str">
        <f t="shared" si="0"/>
        <v/>
      </c>
      <c r="AE38" s="20" t="str">
        <f t="shared" si="0"/>
        <v/>
      </c>
      <c r="AF38" s="20" t="str">
        <f t="shared" si="0"/>
        <v/>
      </c>
      <c r="AG38" s="20" t="str">
        <f t="shared" si="0"/>
        <v/>
      </c>
      <c r="AH38" s="20" t="str">
        <f t="shared" si="0"/>
        <v/>
      </c>
      <c r="AI38" s="20" t="str">
        <f t="shared" si="0"/>
        <v/>
      </c>
      <c r="AJ38" s="21" t="str">
        <f t="shared" si="0"/>
        <v/>
      </c>
      <c r="AK38" s="38"/>
      <c r="AO38" s="32" t="str">
        <f t="shared" si="3"/>
        <v/>
      </c>
      <c r="AP38" s="33" t="str">
        <f t="shared" si="1"/>
        <v/>
      </c>
      <c r="AQ38" s="33" t="str">
        <f t="shared" si="1"/>
        <v/>
      </c>
      <c r="AR38" s="33" t="str">
        <f t="shared" si="1"/>
        <v/>
      </c>
      <c r="AS38" s="33" t="str">
        <f t="shared" si="1"/>
        <v/>
      </c>
      <c r="AT38" s="33" t="str">
        <f t="shared" si="1"/>
        <v/>
      </c>
      <c r="AU38" s="33" t="str">
        <f t="shared" si="1"/>
        <v/>
      </c>
      <c r="AV38" s="33" t="str">
        <f t="shared" si="1"/>
        <v/>
      </c>
      <c r="AW38" s="33" t="str">
        <f t="shared" si="1"/>
        <v/>
      </c>
      <c r="AX38" s="33" t="str">
        <f t="shared" si="1"/>
        <v/>
      </c>
      <c r="AY38" s="33" t="str">
        <f t="shared" si="1"/>
        <v/>
      </c>
      <c r="AZ38" s="33" t="str">
        <f t="shared" si="1"/>
        <v/>
      </c>
      <c r="BA38" s="33" t="str">
        <f t="shared" si="1"/>
        <v/>
      </c>
      <c r="BB38" s="33" t="str">
        <f t="shared" si="1"/>
        <v/>
      </c>
      <c r="BC38" s="33" t="str">
        <f t="shared" si="1"/>
        <v/>
      </c>
      <c r="BD38" s="34" t="str">
        <f t="shared" si="1"/>
        <v/>
      </c>
    </row>
    <row r="39" spans="1:147" ht="13" x14ac:dyDescent="0.3">
      <c r="A39" s="62" t="str">
        <f>MID(A$20,51,2) &amp; MID(A$20,49,2)</f>
        <v>0000</v>
      </c>
      <c r="B39" s="87">
        <f>_xlfn.BITAND(1, _xlfn.BITRSHIFT(HEX2DEC($A39),C$26))</f>
        <v>0</v>
      </c>
      <c r="C39" s="88">
        <f>_xlfn.BITAND(1, _xlfn.BITRSHIFT(HEX2DEC($A39),D$26))</f>
        <v>0</v>
      </c>
      <c r="D39" s="88">
        <f>_xlfn.BITAND(1, _xlfn.BITRSHIFT(HEX2DEC($A39),E$26))</f>
        <v>0</v>
      </c>
      <c r="E39" s="88">
        <f>_xlfn.BITAND(1, _xlfn.BITRSHIFT(HEX2DEC($A39),F$26))</f>
        <v>0</v>
      </c>
      <c r="F39" s="88">
        <f>_xlfn.BITAND(1, _xlfn.BITRSHIFT(HEX2DEC($A39),G$26))</f>
        <v>0</v>
      </c>
      <c r="G39" s="88">
        <f>_xlfn.BITAND(1, _xlfn.BITRSHIFT(HEX2DEC($A39),H$26))</f>
        <v>0</v>
      </c>
      <c r="H39" s="88">
        <f>_xlfn.BITAND(1, _xlfn.BITRSHIFT(HEX2DEC($A39),I$26))</f>
        <v>0</v>
      </c>
      <c r="I39" s="88">
        <f>_xlfn.BITAND(1, _xlfn.BITRSHIFT(HEX2DEC($A39),J$26))</f>
        <v>0</v>
      </c>
      <c r="J39" s="88">
        <f>_xlfn.BITAND(1, _xlfn.BITRSHIFT(HEX2DEC($A39),K$26))</f>
        <v>0</v>
      </c>
      <c r="K39" s="88">
        <f>_xlfn.BITAND(1, _xlfn.BITRSHIFT(HEX2DEC($A39),L$26))</f>
        <v>0</v>
      </c>
      <c r="L39" s="88">
        <f>_xlfn.BITAND(1, _xlfn.BITRSHIFT(HEX2DEC($A39),M$26))</f>
        <v>0</v>
      </c>
      <c r="M39" s="88">
        <f>_xlfn.BITAND(1, _xlfn.BITRSHIFT(HEX2DEC($A39),N$26))</f>
        <v>0</v>
      </c>
      <c r="N39" s="88">
        <f>_xlfn.BITAND(1, _xlfn.BITRSHIFT(HEX2DEC($A39),O$26))</f>
        <v>0</v>
      </c>
      <c r="O39" s="88">
        <f>_xlfn.BITAND(1, _xlfn.BITRSHIFT(HEX2DEC($A39),P$26))</f>
        <v>0</v>
      </c>
      <c r="P39" s="88">
        <f>_xlfn.BITAND(1, _xlfn.BITRSHIFT(HEX2DEC($A39),Q$26))</f>
        <v>0</v>
      </c>
      <c r="Q39" s="89">
        <f>_xlfn.BITAND(1, _xlfn.BITRSHIFT(HEX2DEC($A39),R$26))</f>
        <v>0</v>
      </c>
      <c r="S39" s="38"/>
      <c r="T39" s="38"/>
      <c r="U39" s="19" t="str">
        <f t="shared" si="2"/>
        <v/>
      </c>
      <c r="V39" s="20" t="str">
        <f t="shared" si="0"/>
        <v/>
      </c>
      <c r="W39" s="20" t="str">
        <f t="shared" si="0"/>
        <v/>
      </c>
      <c r="X39" s="20" t="str">
        <f t="shared" si="0"/>
        <v/>
      </c>
      <c r="Y39" s="20" t="str">
        <f t="shared" si="0"/>
        <v/>
      </c>
      <c r="Z39" s="20" t="str">
        <f t="shared" si="0"/>
        <v/>
      </c>
      <c r="AA39" s="20" t="str">
        <f t="shared" si="0"/>
        <v/>
      </c>
      <c r="AB39" s="20" t="str">
        <f t="shared" si="0"/>
        <v/>
      </c>
      <c r="AC39" s="20" t="str">
        <f t="shared" si="0"/>
        <v/>
      </c>
      <c r="AD39" s="20" t="str">
        <f t="shared" si="0"/>
        <v/>
      </c>
      <c r="AE39" s="20" t="str">
        <f t="shared" si="0"/>
        <v/>
      </c>
      <c r="AF39" s="20" t="str">
        <f t="shared" si="0"/>
        <v/>
      </c>
      <c r="AG39" s="20" t="str">
        <f t="shared" si="0"/>
        <v/>
      </c>
      <c r="AH39" s="20" t="str">
        <f t="shared" si="0"/>
        <v/>
      </c>
      <c r="AI39" s="20" t="str">
        <f t="shared" si="0"/>
        <v/>
      </c>
      <c r="AJ39" s="21" t="str">
        <f t="shared" si="0"/>
        <v/>
      </c>
      <c r="AK39" s="38"/>
      <c r="AO39" s="32" t="str">
        <f t="shared" si="3"/>
        <v/>
      </c>
      <c r="AP39" s="33" t="str">
        <f t="shared" si="1"/>
        <v/>
      </c>
      <c r="AQ39" s="33" t="str">
        <f t="shared" si="1"/>
        <v/>
      </c>
      <c r="AR39" s="33" t="str">
        <f t="shared" si="1"/>
        <v/>
      </c>
      <c r="AS39" s="33" t="str">
        <f t="shared" si="1"/>
        <v/>
      </c>
      <c r="AT39" s="33" t="str">
        <f t="shared" si="1"/>
        <v/>
      </c>
      <c r="AU39" s="33" t="str">
        <f t="shared" si="1"/>
        <v/>
      </c>
      <c r="AV39" s="33" t="str">
        <f t="shared" si="1"/>
        <v/>
      </c>
      <c r="AW39" s="33" t="str">
        <f t="shared" si="1"/>
        <v/>
      </c>
      <c r="AX39" s="33" t="str">
        <f t="shared" si="1"/>
        <v/>
      </c>
      <c r="AY39" s="33" t="str">
        <f t="shared" si="1"/>
        <v/>
      </c>
      <c r="AZ39" s="33" t="str">
        <f t="shared" si="1"/>
        <v/>
      </c>
      <c r="BA39" s="33" t="str">
        <f t="shared" si="1"/>
        <v/>
      </c>
      <c r="BB39" s="33" t="str">
        <f t="shared" si="1"/>
        <v/>
      </c>
      <c r="BC39" s="33" t="str">
        <f t="shared" si="1"/>
        <v/>
      </c>
      <c r="BD39" s="34" t="str">
        <f t="shared" si="1"/>
        <v/>
      </c>
    </row>
    <row r="40" spans="1:147" ht="13" x14ac:dyDescent="0.3">
      <c r="A40" s="62" t="str">
        <f>MID(A$20,55,2) &amp; MID(A$20,53,2)</f>
        <v>8001</v>
      </c>
      <c r="B40" s="87">
        <f>_xlfn.BITAND(1, _xlfn.BITRSHIFT(HEX2DEC($A40),C$26))</f>
        <v>1</v>
      </c>
      <c r="C40" s="88">
        <f>_xlfn.BITAND(1, _xlfn.BITRSHIFT(HEX2DEC($A40),D$26))</f>
        <v>0</v>
      </c>
      <c r="D40" s="88">
        <f>_xlfn.BITAND(1, _xlfn.BITRSHIFT(HEX2DEC($A40),E$26))</f>
        <v>0</v>
      </c>
      <c r="E40" s="88">
        <f>_xlfn.BITAND(1, _xlfn.BITRSHIFT(HEX2DEC($A40),F$26))</f>
        <v>0</v>
      </c>
      <c r="F40" s="88">
        <f>_xlfn.BITAND(1, _xlfn.BITRSHIFT(HEX2DEC($A40),G$26))</f>
        <v>0</v>
      </c>
      <c r="G40" s="88">
        <f>_xlfn.BITAND(1, _xlfn.BITRSHIFT(HEX2DEC($A40),H$26))</f>
        <v>0</v>
      </c>
      <c r="H40" s="88">
        <f>_xlfn.BITAND(1, _xlfn.BITRSHIFT(HEX2DEC($A40),I$26))</f>
        <v>0</v>
      </c>
      <c r="I40" s="88">
        <f>_xlfn.BITAND(1, _xlfn.BITRSHIFT(HEX2DEC($A40),J$26))</f>
        <v>0</v>
      </c>
      <c r="J40" s="88">
        <f>_xlfn.BITAND(1, _xlfn.BITRSHIFT(HEX2DEC($A40),K$26))</f>
        <v>0</v>
      </c>
      <c r="K40" s="88">
        <f>_xlfn.BITAND(1, _xlfn.BITRSHIFT(HEX2DEC($A40),L$26))</f>
        <v>0</v>
      </c>
      <c r="L40" s="88">
        <f>_xlfn.BITAND(1, _xlfn.BITRSHIFT(HEX2DEC($A40),M$26))</f>
        <v>0</v>
      </c>
      <c r="M40" s="88">
        <f>_xlfn.BITAND(1, _xlfn.BITRSHIFT(HEX2DEC($A40),N$26))</f>
        <v>0</v>
      </c>
      <c r="N40" s="88">
        <f>_xlfn.BITAND(1, _xlfn.BITRSHIFT(HEX2DEC($A40),O$26))</f>
        <v>0</v>
      </c>
      <c r="O40" s="88">
        <f>_xlfn.BITAND(1, _xlfn.BITRSHIFT(HEX2DEC($A40),P$26))</f>
        <v>0</v>
      </c>
      <c r="P40" s="88">
        <f>_xlfn.BITAND(1, _xlfn.BITRSHIFT(HEX2DEC($A40),Q$26))</f>
        <v>0</v>
      </c>
      <c r="Q40" s="89">
        <f>_xlfn.BITAND(1, _xlfn.BITRSHIFT(HEX2DEC($A40),R$26))</f>
        <v>1</v>
      </c>
      <c r="S40" s="38"/>
      <c r="T40" s="38"/>
      <c r="U40" s="19" t="str">
        <f t="shared" si="2"/>
        <v/>
      </c>
      <c r="V40" s="20" t="str">
        <f t="shared" si="0"/>
        <v/>
      </c>
      <c r="W40" s="20" t="str">
        <f t="shared" si="0"/>
        <v/>
      </c>
      <c r="X40" s="20" t="str">
        <f t="shared" si="0"/>
        <v/>
      </c>
      <c r="Y40" s="20" t="str">
        <f t="shared" si="0"/>
        <v/>
      </c>
      <c r="Z40" s="20" t="str">
        <f t="shared" si="0"/>
        <v/>
      </c>
      <c r="AA40" s="20" t="str">
        <f t="shared" si="0"/>
        <v/>
      </c>
      <c r="AB40" s="20" t="str">
        <f t="shared" si="0"/>
        <v/>
      </c>
      <c r="AC40" s="20" t="str">
        <f t="shared" si="0"/>
        <v/>
      </c>
      <c r="AD40" s="20" t="str">
        <f t="shared" si="0"/>
        <v/>
      </c>
      <c r="AE40" s="20" t="str">
        <f t="shared" si="0"/>
        <v/>
      </c>
      <c r="AF40" s="20" t="str">
        <f t="shared" si="0"/>
        <v/>
      </c>
      <c r="AG40" s="20" t="str">
        <f t="shared" si="0"/>
        <v/>
      </c>
      <c r="AH40" s="20" t="str">
        <f t="shared" si="0"/>
        <v/>
      </c>
      <c r="AI40" s="20" t="str">
        <f t="shared" si="0"/>
        <v/>
      </c>
      <c r="AJ40" s="21" t="str">
        <f t="shared" si="0"/>
        <v/>
      </c>
      <c r="AK40" s="38"/>
      <c r="AO40" s="32" t="str">
        <f t="shared" si="3"/>
        <v/>
      </c>
      <c r="AP40" s="33" t="str">
        <f t="shared" si="1"/>
        <v/>
      </c>
      <c r="AQ40" s="33" t="str">
        <f t="shared" si="1"/>
        <v/>
      </c>
      <c r="AR40" s="33" t="str">
        <f t="shared" si="1"/>
        <v/>
      </c>
      <c r="AS40" s="33" t="str">
        <f t="shared" si="1"/>
        <v/>
      </c>
      <c r="AT40" s="33" t="str">
        <f t="shared" si="1"/>
        <v/>
      </c>
      <c r="AU40" s="33" t="str">
        <f t="shared" si="1"/>
        <v/>
      </c>
      <c r="AV40" s="33" t="str">
        <f t="shared" si="1"/>
        <v/>
      </c>
      <c r="AW40" s="33" t="str">
        <f t="shared" si="1"/>
        <v/>
      </c>
      <c r="AX40" s="33" t="str">
        <f t="shared" si="1"/>
        <v/>
      </c>
      <c r="AY40" s="33" t="str">
        <f t="shared" si="1"/>
        <v/>
      </c>
      <c r="AZ40" s="33" t="str">
        <f t="shared" si="1"/>
        <v/>
      </c>
      <c r="BA40" s="33" t="str">
        <f t="shared" si="1"/>
        <v/>
      </c>
      <c r="BB40" s="33" t="str">
        <f t="shared" si="1"/>
        <v/>
      </c>
      <c r="BC40" s="33" t="str">
        <f t="shared" si="1"/>
        <v/>
      </c>
      <c r="BD40" s="34" t="str">
        <f t="shared" si="1"/>
        <v/>
      </c>
    </row>
    <row r="41" spans="1:147" ht="13" x14ac:dyDescent="0.3">
      <c r="A41" s="62" t="str">
        <f>MID(A$20,59,2) &amp; MID(A$20,57,2)</f>
        <v>C001</v>
      </c>
      <c r="B41" s="87">
        <f>_xlfn.BITAND(1, _xlfn.BITRSHIFT(HEX2DEC($A41),C$26))</f>
        <v>1</v>
      </c>
      <c r="C41" s="88">
        <f>_xlfn.BITAND(1, _xlfn.BITRSHIFT(HEX2DEC($A41),D$26))</f>
        <v>1</v>
      </c>
      <c r="D41" s="88">
        <f>_xlfn.BITAND(1, _xlfn.BITRSHIFT(HEX2DEC($A41),E$26))</f>
        <v>0</v>
      </c>
      <c r="E41" s="88">
        <f>_xlfn.BITAND(1, _xlfn.BITRSHIFT(HEX2DEC($A41),F$26))</f>
        <v>0</v>
      </c>
      <c r="F41" s="88">
        <f>_xlfn.BITAND(1, _xlfn.BITRSHIFT(HEX2DEC($A41),G$26))</f>
        <v>0</v>
      </c>
      <c r="G41" s="88">
        <f>_xlfn.BITAND(1, _xlfn.BITRSHIFT(HEX2DEC($A41),H$26))</f>
        <v>0</v>
      </c>
      <c r="H41" s="88">
        <f>_xlfn.BITAND(1, _xlfn.BITRSHIFT(HEX2DEC($A41),I$26))</f>
        <v>0</v>
      </c>
      <c r="I41" s="88">
        <f>_xlfn.BITAND(1, _xlfn.BITRSHIFT(HEX2DEC($A41),J$26))</f>
        <v>0</v>
      </c>
      <c r="J41" s="88">
        <f>_xlfn.BITAND(1, _xlfn.BITRSHIFT(HEX2DEC($A41),K$26))</f>
        <v>0</v>
      </c>
      <c r="K41" s="88">
        <f>_xlfn.BITAND(1, _xlfn.BITRSHIFT(HEX2DEC($A41),L$26))</f>
        <v>0</v>
      </c>
      <c r="L41" s="88">
        <f>_xlfn.BITAND(1, _xlfn.BITRSHIFT(HEX2DEC($A41),M$26))</f>
        <v>0</v>
      </c>
      <c r="M41" s="88">
        <f>_xlfn.BITAND(1, _xlfn.BITRSHIFT(HEX2DEC($A41),N$26))</f>
        <v>0</v>
      </c>
      <c r="N41" s="88">
        <f>_xlfn.BITAND(1, _xlfn.BITRSHIFT(HEX2DEC($A41),O$26))</f>
        <v>0</v>
      </c>
      <c r="O41" s="88">
        <f>_xlfn.BITAND(1, _xlfn.BITRSHIFT(HEX2DEC($A41),P$26))</f>
        <v>0</v>
      </c>
      <c r="P41" s="88">
        <f>_xlfn.BITAND(1, _xlfn.BITRSHIFT(HEX2DEC($A41),Q$26))</f>
        <v>0</v>
      </c>
      <c r="Q41" s="89">
        <f>_xlfn.BITAND(1, _xlfn.BITRSHIFT(HEX2DEC($A41),R$26))</f>
        <v>1</v>
      </c>
      <c r="S41" s="38"/>
      <c r="T41" s="38"/>
      <c r="U41" s="19" t="str">
        <f t="shared" si="2"/>
        <v/>
      </c>
      <c r="V41" s="20" t="str">
        <f t="shared" si="0"/>
        <v/>
      </c>
      <c r="W41" s="20" t="str">
        <f t="shared" si="0"/>
        <v/>
      </c>
      <c r="X41" s="20" t="str">
        <f t="shared" si="0"/>
        <v/>
      </c>
      <c r="Y41" s="20" t="str">
        <f t="shared" si="0"/>
        <v/>
      </c>
      <c r="Z41" s="20" t="str">
        <f t="shared" si="0"/>
        <v/>
      </c>
      <c r="AA41" s="20" t="str">
        <f t="shared" si="0"/>
        <v/>
      </c>
      <c r="AB41" s="20" t="str">
        <f t="shared" si="0"/>
        <v/>
      </c>
      <c r="AC41" s="20" t="str">
        <f t="shared" si="0"/>
        <v/>
      </c>
      <c r="AD41" s="20" t="str">
        <f t="shared" si="0"/>
        <v/>
      </c>
      <c r="AE41" s="20" t="str">
        <f t="shared" si="0"/>
        <v/>
      </c>
      <c r="AF41" s="20" t="str">
        <f t="shared" si="0"/>
        <v/>
      </c>
      <c r="AG41" s="20" t="str">
        <f t="shared" si="0"/>
        <v/>
      </c>
      <c r="AH41" s="20" t="str">
        <f t="shared" si="0"/>
        <v/>
      </c>
      <c r="AI41" s="20" t="str">
        <f t="shared" si="0"/>
        <v/>
      </c>
      <c r="AJ41" s="21" t="str">
        <f t="shared" si="0"/>
        <v/>
      </c>
      <c r="AK41" s="38"/>
      <c r="AO41" s="32" t="str">
        <f t="shared" si="3"/>
        <v/>
      </c>
      <c r="AP41" s="33" t="str">
        <f t="shared" si="1"/>
        <v/>
      </c>
      <c r="AQ41" s="33" t="str">
        <f t="shared" si="1"/>
        <v/>
      </c>
      <c r="AR41" s="33" t="str">
        <f t="shared" si="1"/>
        <v/>
      </c>
      <c r="AS41" s="33" t="str">
        <f t="shared" si="1"/>
        <v/>
      </c>
      <c r="AT41" s="33" t="str">
        <f t="shared" si="1"/>
        <v/>
      </c>
      <c r="AU41" s="33" t="str">
        <f t="shared" si="1"/>
        <v/>
      </c>
      <c r="AV41" s="33" t="str">
        <f t="shared" si="1"/>
        <v/>
      </c>
      <c r="AW41" s="33" t="str">
        <f t="shared" si="1"/>
        <v/>
      </c>
      <c r="AX41" s="33" t="str">
        <f t="shared" si="1"/>
        <v/>
      </c>
      <c r="AY41" s="33" t="str">
        <f t="shared" si="1"/>
        <v/>
      </c>
      <c r="AZ41" s="33" t="str">
        <f t="shared" si="1"/>
        <v/>
      </c>
      <c r="BA41" s="33" t="str">
        <f t="shared" si="1"/>
        <v/>
      </c>
      <c r="BB41" s="33" t="str">
        <f t="shared" si="1"/>
        <v/>
      </c>
      <c r="BC41" s="33" t="str">
        <f t="shared" si="1"/>
        <v/>
      </c>
      <c r="BD41" s="34" t="str">
        <f t="shared" si="1"/>
        <v/>
      </c>
    </row>
    <row r="42" spans="1:147" ht="13" x14ac:dyDescent="0.3">
      <c r="A42" s="62" t="str">
        <f>MID(A$20,63,2) &amp; MID(A$20,61,2)</f>
        <v>E003</v>
      </c>
      <c r="B42" s="87">
        <f>_xlfn.BITAND(1, _xlfn.BITRSHIFT(HEX2DEC($A42),C$26))</f>
        <v>1</v>
      </c>
      <c r="C42" s="88">
        <f>_xlfn.BITAND(1, _xlfn.BITRSHIFT(HEX2DEC($A42),D$26))</f>
        <v>1</v>
      </c>
      <c r="D42" s="88">
        <f>_xlfn.BITAND(1, _xlfn.BITRSHIFT(HEX2DEC($A42),E$26))</f>
        <v>1</v>
      </c>
      <c r="E42" s="88">
        <f>_xlfn.BITAND(1, _xlfn.BITRSHIFT(HEX2DEC($A42),F$26))</f>
        <v>0</v>
      </c>
      <c r="F42" s="88">
        <f>_xlfn.BITAND(1, _xlfn.BITRSHIFT(HEX2DEC($A42),G$26))</f>
        <v>0</v>
      </c>
      <c r="G42" s="88">
        <f>_xlfn.BITAND(1, _xlfn.BITRSHIFT(HEX2DEC($A42),H$26))</f>
        <v>0</v>
      </c>
      <c r="H42" s="88">
        <f>_xlfn.BITAND(1, _xlfn.BITRSHIFT(HEX2DEC($A42),I$26))</f>
        <v>0</v>
      </c>
      <c r="I42" s="88">
        <f>_xlfn.BITAND(1, _xlfn.BITRSHIFT(HEX2DEC($A42),J$26))</f>
        <v>0</v>
      </c>
      <c r="J42" s="88">
        <f>_xlfn.BITAND(1, _xlfn.BITRSHIFT(HEX2DEC($A42),K$26))</f>
        <v>0</v>
      </c>
      <c r="K42" s="88">
        <f>_xlfn.BITAND(1, _xlfn.BITRSHIFT(HEX2DEC($A42),L$26))</f>
        <v>0</v>
      </c>
      <c r="L42" s="88">
        <f>_xlfn.BITAND(1, _xlfn.BITRSHIFT(HEX2DEC($A42),M$26))</f>
        <v>0</v>
      </c>
      <c r="M42" s="88">
        <f>_xlfn.BITAND(1, _xlfn.BITRSHIFT(HEX2DEC($A42),N$26))</f>
        <v>0</v>
      </c>
      <c r="N42" s="88">
        <f>_xlfn.BITAND(1, _xlfn.BITRSHIFT(HEX2DEC($A42),O$26))</f>
        <v>0</v>
      </c>
      <c r="O42" s="88">
        <f>_xlfn.BITAND(1, _xlfn.BITRSHIFT(HEX2DEC($A42),P$26))</f>
        <v>0</v>
      </c>
      <c r="P42" s="88">
        <f>_xlfn.BITAND(1, _xlfn.BITRSHIFT(HEX2DEC($A42),Q$26))</f>
        <v>1</v>
      </c>
      <c r="Q42" s="89">
        <f>_xlfn.BITAND(1, _xlfn.BITRSHIFT(HEX2DEC($A42),R$26))</f>
        <v>1</v>
      </c>
      <c r="S42" s="38"/>
      <c r="T42" s="38"/>
      <c r="U42" s="19" t="str">
        <f t="shared" si="2"/>
        <v/>
      </c>
      <c r="V42" s="20" t="str">
        <f t="shared" si="0"/>
        <v/>
      </c>
      <c r="W42" s="20" t="str">
        <f t="shared" si="0"/>
        <v/>
      </c>
      <c r="X42" s="20" t="str">
        <f t="shared" si="0"/>
        <v/>
      </c>
      <c r="Y42" s="20" t="str">
        <f t="shared" si="0"/>
        <v/>
      </c>
      <c r="Z42" s="20" t="str">
        <f t="shared" si="0"/>
        <v/>
      </c>
      <c r="AA42" s="20" t="str">
        <f t="shared" si="0"/>
        <v/>
      </c>
      <c r="AB42" s="20" t="str">
        <f t="shared" si="0"/>
        <v/>
      </c>
      <c r="AC42" s="20" t="str">
        <f t="shared" si="0"/>
        <v/>
      </c>
      <c r="AD42" s="20" t="str">
        <f t="shared" si="0"/>
        <v/>
      </c>
      <c r="AE42" s="20" t="str">
        <f t="shared" si="0"/>
        <v/>
      </c>
      <c r="AF42" s="20" t="str">
        <f t="shared" si="0"/>
        <v/>
      </c>
      <c r="AG42" s="20" t="str">
        <f t="shared" si="0"/>
        <v/>
      </c>
      <c r="AH42" s="20" t="str">
        <f t="shared" si="0"/>
        <v/>
      </c>
      <c r="AI42" s="20" t="str">
        <f t="shared" si="0"/>
        <v/>
      </c>
      <c r="AJ42" s="21" t="str">
        <f t="shared" si="0"/>
        <v/>
      </c>
      <c r="AK42" s="38"/>
      <c r="AO42" s="32" t="str">
        <f t="shared" si="3"/>
        <v/>
      </c>
      <c r="AP42" s="33" t="str">
        <f t="shared" si="1"/>
        <v/>
      </c>
      <c r="AQ42" s="33" t="str">
        <f t="shared" si="1"/>
        <v/>
      </c>
      <c r="AR42" s="33" t="str">
        <f t="shared" si="1"/>
        <v/>
      </c>
      <c r="AS42" s="33" t="str">
        <f t="shared" si="1"/>
        <v/>
      </c>
      <c r="AT42" s="33" t="str">
        <f t="shared" si="1"/>
        <v/>
      </c>
      <c r="AU42" s="33" t="str">
        <f t="shared" si="1"/>
        <v/>
      </c>
      <c r="AV42" s="33" t="str">
        <f t="shared" si="1"/>
        <v/>
      </c>
      <c r="AW42" s="33" t="str">
        <f t="shared" si="1"/>
        <v/>
      </c>
      <c r="AX42" s="33" t="str">
        <f t="shared" si="1"/>
        <v/>
      </c>
      <c r="AY42" s="33" t="str">
        <f t="shared" si="1"/>
        <v/>
      </c>
      <c r="AZ42" s="33" t="str">
        <f t="shared" si="1"/>
        <v/>
      </c>
      <c r="BA42" s="33" t="str">
        <f t="shared" si="1"/>
        <v/>
      </c>
      <c r="BB42" s="33" t="str">
        <f t="shared" si="1"/>
        <v/>
      </c>
      <c r="BC42" s="33" t="str">
        <f t="shared" si="1"/>
        <v/>
      </c>
      <c r="BD42" s="34" t="str">
        <f t="shared" si="1"/>
        <v/>
      </c>
    </row>
    <row r="43" spans="1:147" ht="13" x14ac:dyDescent="0.3">
      <c r="A43" s="62" t="str">
        <f>MID(A$20,67,2) &amp; MID(A$20,65,2)</f>
        <v>F007</v>
      </c>
      <c r="B43" s="90">
        <f>_xlfn.BITAND(1, _xlfn.BITRSHIFT(HEX2DEC($A43),C$26))</f>
        <v>1</v>
      </c>
      <c r="C43" s="91">
        <f>_xlfn.BITAND(1, _xlfn.BITRSHIFT(HEX2DEC($A43),D$26))</f>
        <v>1</v>
      </c>
      <c r="D43" s="91">
        <f>_xlfn.BITAND(1, _xlfn.BITRSHIFT(HEX2DEC($A43),E$26))</f>
        <v>1</v>
      </c>
      <c r="E43" s="91">
        <f>_xlfn.BITAND(1, _xlfn.BITRSHIFT(HEX2DEC($A43),F$26))</f>
        <v>1</v>
      </c>
      <c r="F43" s="91">
        <f>_xlfn.BITAND(1, _xlfn.BITRSHIFT(HEX2DEC($A43),G$26))</f>
        <v>0</v>
      </c>
      <c r="G43" s="91">
        <f>_xlfn.BITAND(1, _xlfn.BITRSHIFT(HEX2DEC($A43),H$26))</f>
        <v>0</v>
      </c>
      <c r="H43" s="91">
        <f>_xlfn.BITAND(1, _xlfn.BITRSHIFT(HEX2DEC($A43),I$26))</f>
        <v>0</v>
      </c>
      <c r="I43" s="91">
        <f>_xlfn.BITAND(1, _xlfn.BITRSHIFT(HEX2DEC($A43),J$26))</f>
        <v>0</v>
      </c>
      <c r="J43" s="91">
        <f>_xlfn.BITAND(1, _xlfn.BITRSHIFT(HEX2DEC($A43),K$26))</f>
        <v>0</v>
      </c>
      <c r="K43" s="91">
        <f>_xlfn.BITAND(1, _xlfn.BITRSHIFT(HEX2DEC($A43),L$26))</f>
        <v>0</v>
      </c>
      <c r="L43" s="91">
        <f>_xlfn.BITAND(1, _xlfn.BITRSHIFT(HEX2DEC($A43),M$26))</f>
        <v>0</v>
      </c>
      <c r="M43" s="91">
        <f>_xlfn.BITAND(1, _xlfn.BITRSHIFT(HEX2DEC($A43),N$26))</f>
        <v>0</v>
      </c>
      <c r="N43" s="91">
        <f>_xlfn.BITAND(1, _xlfn.BITRSHIFT(HEX2DEC($A43),O$26))</f>
        <v>0</v>
      </c>
      <c r="O43" s="91">
        <f>_xlfn.BITAND(1, _xlfn.BITRSHIFT(HEX2DEC($A43),P$26))</f>
        <v>1</v>
      </c>
      <c r="P43" s="91">
        <f>_xlfn.BITAND(1, _xlfn.BITRSHIFT(HEX2DEC($A43),Q$26))</f>
        <v>1</v>
      </c>
      <c r="Q43" s="92">
        <f>_xlfn.BITAND(1, _xlfn.BITRSHIFT(HEX2DEC($A43),R$26))</f>
        <v>1</v>
      </c>
      <c r="S43" s="38"/>
      <c r="T43" s="38"/>
      <c r="U43" s="23" t="str">
        <f t="shared" si="2"/>
        <v/>
      </c>
      <c r="V43" s="24" t="str">
        <f t="shared" si="0"/>
        <v/>
      </c>
      <c r="W43" s="24" t="str">
        <f t="shared" si="0"/>
        <v/>
      </c>
      <c r="X43" s="24" t="str">
        <f t="shared" si="0"/>
        <v/>
      </c>
      <c r="Y43" s="24" t="str">
        <f t="shared" si="0"/>
        <v/>
      </c>
      <c r="Z43" s="24" t="str">
        <f t="shared" si="0"/>
        <v/>
      </c>
      <c r="AA43" s="24" t="str">
        <f t="shared" si="0"/>
        <v/>
      </c>
      <c r="AB43" s="24" t="str">
        <f t="shared" si="0"/>
        <v/>
      </c>
      <c r="AC43" s="24" t="str">
        <f t="shared" si="0"/>
        <v/>
      </c>
      <c r="AD43" s="24" t="str">
        <f t="shared" si="0"/>
        <v/>
      </c>
      <c r="AE43" s="24" t="str">
        <f t="shared" si="0"/>
        <v/>
      </c>
      <c r="AF43" s="24" t="str">
        <f t="shared" si="0"/>
        <v/>
      </c>
      <c r="AG43" s="24" t="str">
        <f t="shared" si="0"/>
        <v/>
      </c>
      <c r="AH43" s="24" t="str">
        <f t="shared" si="0"/>
        <v/>
      </c>
      <c r="AI43" s="24" t="str">
        <f t="shared" si="0"/>
        <v/>
      </c>
      <c r="AJ43" s="25" t="str">
        <f t="shared" si="0"/>
        <v/>
      </c>
      <c r="AK43" s="38"/>
      <c r="AO43" s="35" t="str">
        <f t="shared" si="3"/>
        <v/>
      </c>
      <c r="AP43" s="36" t="str">
        <f t="shared" si="1"/>
        <v/>
      </c>
      <c r="AQ43" s="36" t="str">
        <f t="shared" si="1"/>
        <v/>
      </c>
      <c r="AR43" s="36" t="str">
        <f t="shared" si="1"/>
        <v/>
      </c>
      <c r="AS43" s="36" t="str">
        <f t="shared" si="1"/>
        <v/>
      </c>
      <c r="AT43" s="36" t="str">
        <f t="shared" si="1"/>
        <v/>
      </c>
      <c r="AU43" s="36" t="str">
        <f t="shared" si="1"/>
        <v/>
      </c>
      <c r="AV43" s="36" t="str">
        <f t="shared" si="1"/>
        <v/>
      </c>
      <c r="AW43" s="36" t="str">
        <f t="shared" si="1"/>
        <v/>
      </c>
      <c r="AX43" s="36" t="str">
        <f t="shared" si="1"/>
        <v/>
      </c>
      <c r="AY43" s="36" t="str">
        <f t="shared" si="1"/>
        <v/>
      </c>
      <c r="AZ43" s="36" t="str">
        <f t="shared" si="1"/>
        <v/>
      </c>
      <c r="BA43" s="36" t="str">
        <f t="shared" si="1"/>
        <v/>
      </c>
      <c r="BB43" s="36" t="str">
        <f t="shared" si="1"/>
        <v/>
      </c>
      <c r="BC43" s="36" t="str">
        <f t="shared" si="1"/>
        <v/>
      </c>
      <c r="BD43" s="37" t="str">
        <f t="shared" si="1"/>
        <v/>
      </c>
    </row>
    <row r="44" spans="1:147" ht="13" x14ac:dyDescent="0.3">
      <c r="A44" s="39"/>
      <c r="B44" s="38"/>
      <c r="C44" s="38"/>
      <c r="D44" s="38"/>
      <c r="E44" s="38"/>
      <c r="F44" s="38"/>
      <c r="G44" s="38"/>
      <c r="H44" s="38"/>
      <c r="I44" s="38"/>
      <c r="J44" s="38"/>
      <c r="K44" s="38"/>
      <c r="L44" s="38"/>
      <c r="M44" s="38"/>
      <c r="N44" s="38"/>
      <c r="O44" s="38"/>
      <c r="P44" s="38"/>
      <c r="Q44" s="38"/>
      <c r="R44" s="38"/>
      <c r="S44" s="38"/>
      <c r="T44" s="38"/>
      <c r="U44" s="38"/>
      <c r="V44" s="38"/>
      <c r="W44" s="38"/>
      <c r="X44" s="38"/>
      <c r="Y44" s="38"/>
      <c r="Z44" s="38"/>
      <c r="AA44" s="38"/>
      <c r="AB44" s="38"/>
      <c r="AC44" s="38"/>
      <c r="AD44" s="38"/>
      <c r="AE44" s="38"/>
      <c r="AF44" s="38"/>
      <c r="AG44" s="38"/>
      <c r="AH44" s="38"/>
      <c r="AI44" s="38"/>
      <c r="AJ44" s="38"/>
      <c r="AK44" s="38"/>
    </row>
    <row r="45" spans="1:147" ht="13" x14ac:dyDescent="0.3">
      <c r="A45" s="40"/>
      <c r="B45" s="38"/>
      <c r="C45" s="38"/>
      <c r="D45" s="38"/>
      <c r="E45" s="38"/>
      <c r="F45" s="38"/>
      <c r="G45" s="38"/>
      <c r="H45" s="38"/>
      <c r="I45" s="38"/>
      <c r="J45" s="38"/>
      <c r="K45" s="38"/>
      <c r="L45" s="38"/>
      <c r="M45" s="38"/>
      <c r="N45" s="38"/>
      <c r="O45" s="38"/>
      <c r="P45" s="38"/>
      <c r="Q45" s="38"/>
      <c r="R45" s="38"/>
      <c r="S45" s="38"/>
      <c r="T45" s="38"/>
    </row>
    <row r="46" spans="1:147" ht="13" x14ac:dyDescent="0.3">
      <c r="A46" s="40"/>
      <c r="B46" s="38" t="s">
        <v>1</v>
      </c>
      <c r="C46" s="38"/>
      <c r="D46" s="38"/>
      <c r="E46" s="38"/>
      <c r="F46" s="38"/>
      <c r="G46" s="38"/>
      <c r="H46" s="38"/>
      <c r="I46" s="38"/>
      <c r="J46" s="38"/>
      <c r="K46" s="38"/>
      <c r="L46" s="38"/>
      <c r="M46" s="38"/>
      <c r="N46" s="38"/>
      <c r="O46" s="38"/>
      <c r="P46" s="38"/>
      <c r="Q46" s="38"/>
      <c r="S46" s="38"/>
      <c r="T46" s="38"/>
    </row>
    <row r="47" spans="1:147" ht="13" x14ac:dyDescent="0.3">
      <c r="A47" s="62" t="str">
        <f>MID(A$20,71,2) &amp; MID(A$20,69,2)</f>
        <v>0000</v>
      </c>
      <c r="B47" s="84">
        <f>_xlfn.BITAND(1, _xlfn.BITRSHIFT(HEX2DEC($A47),C$26))</f>
        <v>0</v>
      </c>
      <c r="C47" s="85">
        <f>_xlfn.BITAND(1, _xlfn.BITRSHIFT(HEX2DEC($A47),D$26))</f>
        <v>0</v>
      </c>
      <c r="D47" s="85">
        <f>_xlfn.BITAND(1, _xlfn.BITRSHIFT(HEX2DEC($A47),E$26))</f>
        <v>0</v>
      </c>
      <c r="E47" s="85">
        <f>_xlfn.BITAND(1, _xlfn.BITRSHIFT(HEX2DEC($A47),F$26))</f>
        <v>0</v>
      </c>
      <c r="F47" s="85">
        <f>_xlfn.BITAND(1, _xlfn.BITRSHIFT(HEX2DEC($A47),G$26))</f>
        <v>0</v>
      </c>
      <c r="G47" s="85">
        <f>_xlfn.BITAND(1, _xlfn.BITRSHIFT(HEX2DEC($A47),H$26))</f>
        <v>0</v>
      </c>
      <c r="H47" s="85">
        <f>_xlfn.BITAND(1, _xlfn.BITRSHIFT(HEX2DEC($A47),I$26))</f>
        <v>0</v>
      </c>
      <c r="I47" s="85">
        <f>_xlfn.BITAND(1, _xlfn.BITRSHIFT(HEX2DEC($A47),J$26))</f>
        <v>0</v>
      </c>
      <c r="J47" s="85">
        <f>_xlfn.BITAND(1, _xlfn.BITRSHIFT(HEX2DEC($A47),K$26))</f>
        <v>0</v>
      </c>
      <c r="K47" s="85">
        <f>_xlfn.BITAND(1, _xlfn.BITRSHIFT(HEX2DEC($A47),L$26))</f>
        <v>0</v>
      </c>
      <c r="L47" s="85">
        <f>_xlfn.BITAND(1, _xlfn.BITRSHIFT(HEX2DEC($A47),M$26))</f>
        <v>0</v>
      </c>
      <c r="M47" s="85">
        <f>_xlfn.BITAND(1, _xlfn.BITRSHIFT(HEX2DEC($A47),N$26))</f>
        <v>0</v>
      </c>
      <c r="N47" s="85">
        <f>_xlfn.BITAND(1, _xlfn.BITRSHIFT(HEX2DEC($A47),O$26))</f>
        <v>0</v>
      </c>
      <c r="O47" s="85">
        <f>_xlfn.BITAND(1, _xlfn.BITRSHIFT(HEX2DEC($A47),P$26))</f>
        <v>0</v>
      </c>
      <c r="P47" s="85">
        <f>_xlfn.BITAND(1, _xlfn.BITRSHIFT(HEX2DEC($A47),Q$26))</f>
        <v>0</v>
      </c>
      <c r="Q47" s="86">
        <f>_xlfn.BITAND(1, _xlfn.BITRSHIFT(HEX2DEC($A47),R$26))</f>
        <v>0</v>
      </c>
      <c r="S47" s="38"/>
      <c r="T47" s="38"/>
    </row>
    <row r="48" spans="1:147" ht="13" x14ac:dyDescent="0.3">
      <c r="A48" s="62" t="str">
        <f>MID(A$20,75,2) &amp; MID(A$20,73,2)</f>
        <v>0000</v>
      </c>
      <c r="B48" s="87">
        <f>_xlfn.BITAND(1, _xlfn.BITRSHIFT(HEX2DEC($A48),C$26))</f>
        <v>0</v>
      </c>
      <c r="C48" s="88">
        <f>_xlfn.BITAND(1, _xlfn.BITRSHIFT(HEX2DEC($A48),D$26))</f>
        <v>0</v>
      </c>
      <c r="D48" s="88">
        <f>_xlfn.BITAND(1, _xlfn.BITRSHIFT(HEX2DEC($A48),E$26))</f>
        <v>0</v>
      </c>
      <c r="E48" s="88">
        <f>_xlfn.BITAND(1, _xlfn.BITRSHIFT(HEX2DEC($A48),F$26))</f>
        <v>0</v>
      </c>
      <c r="F48" s="88">
        <f>_xlfn.BITAND(1, _xlfn.BITRSHIFT(HEX2DEC($A48),G$26))</f>
        <v>0</v>
      </c>
      <c r="G48" s="88">
        <f>_xlfn.BITAND(1, _xlfn.BITRSHIFT(HEX2DEC($A48),H$26))</f>
        <v>0</v>
      </c>
      <c r="H48" s="88">
        <f>_xlfn.BITAND(1, _xlfn.BITRSHIFT(HEX2DEC($A48),I$26))</f>
        <v>0</v>
      </c>
      <c r="I48" s="88">
        <f>_xlfn.BITAND(1, _xlfn.BITRSHIFT(HEX2DEC($A48),J$26))</f>
        <v>0</v>
      </c>
      <c r="J48" s="88">
        <f>_xlfn.BITAND(1, _xlfn.BITRSHIFT(HEX2DEC($A48),K$26))</f>
        <v>0</v>
      </c>
      <c r="K48" s="88">
        <f>_xlfn.BITAND(1, _xlfn.BITRSHIFT(HEX2DEC($A48),L$26))</f>
        <v>0</v>
      </c>
      <c r="L48" s="88">
        <f>_xlfn.BITAND(1, _xlfn.BITRSHIFT(HEX2DEC($A48),M$26))</f>
        <v>0</v>
      </c>
      <c r="M48" s="88">
        <f>_xlfn.BITAND(1, _xlfn.BITRSHIFT(HEX2DEC($A48),N$26))</f>
        <v>0</v>
      </c>
      <c r="N48" s="88">
        <f>_xlfn.BITAND(1, _xlfn.BITRSHIFT(HEX2DEC($A48),O$26))</f>
        <v>0</v>
      </c>
      <c r="O48" s="88">
        <f>_xlfn.BITAND(1, _xlfn.BITRSHIFT(HEX2DEC($A48),P$26))</f>
        <v>0</v>
      </c>
      <c r="P48" s="88">
        <f>_xlfn.BITAND(1, _xlfn.BITRSHIFT(HEX2DEC($A48),Q$26))</f>
        <v>0</v>
      </c>
      <c r="Q48" s="89">
        <f>_xlfn.BITAND(1, _xlfn.BITRSHIFT(HEX2DEC($A48),R$26))</f>
        <v>0</v>
      </c>
      <c r="S48" s="38"/>
      <c r="T48" s="38"/>
    </row>
    <row r="49" spans="1:20" ht="13" x14ac:dyDescent="0.3">
      <c r="A49" s="62" t="str">
        <f>MID(A$20,79,2) &amp; MID(A$20,77,2)</f>
        <v>0000</v>
      </c>
      <c r="B49" s="87">
        <f>_xlfn.BITAND(1, _xlfn.BITRSHIFT(HEX2DEC($A49),C$26))</f>
        <v>0</v>
      </c>
      <c r="C49" s="88">
        <f>_xlfn.BITAND(1, _xlfn.BITRSHIFT(HEX2DEC($A49),D$26))</f>
        <v>0</v>
      </c>
      <c r="D49" s="88">
        <f>_xlfn.BITAND(1, _xlfn.BITRSHIFT(HEX2DEC($A49),E$26))</f>
        <v>0</v>
      </c>
      <c r="E49" s="88">
        <f>_xlfn.BITAND(1, _xlfn.BITRSHIFT(HEX2DEC($A49),F$26))</f>
        <v>0</v>
      </c>
      <c r="F49" s="88">
        <f>_xlfn.BITAND(1, _xlfn.BITRSHIFT(HEX2DEC($A49),G$26))</f>
        <v>0</v>
      </c>
      <c r="G49" s="88">
        <f>_xlfn.BITAND(1, _xlfn.BITRSHIFT(HEX2DEC($A49),H$26))</f>
        <v>0</v>
      </c>
      <c r="H49" s="88">
        <f>_xlfn.BITAND(1, _xlfn.BITRSHIFT(HEX2DEC($A49),I$26))</f>
        <v>0</v>
      </c>
      <c r="I49" s="88">
        <f>_xlfn.BITAND(1, _xlfn.BITRSHIFT(HEX2DEC($A49),J$26))</f>
        <v>0</v>
      </c>
      <c r="J49" s="88">
        <f>_xlfn.BITAND(1, _xlfn.BITRSHIFT(HEX2DEC($A49),K$26))</f>
        <v>0</v>
      </c>
      <c r="K49" s="88">
        <f>_xlfn.BITAND(1, _xlfn.BITRSHIFT(HEX2DEC($A49),L$26))</f>
        <v>0</v>
      </c>
      <c r="L49" s="88">
        <f>_xlfn.BITAND(1, _xlfn.BITRSHIFT(HEX2DEC($A49),M$26))</f>
        <v>0</v>
      </c>
      <c r="M49" s="88">
        <f>_xlfn.BITAND(1, _xlfn.BITRSHIFT(HEX2DEC($A49),N$26))</f>
        <v>0</v>
      </c>
      <c r="N49" s="88">
        <f>_xlfn.BITAND(1, _xlfn.BITRSHIFT(HEX2DEC($A49),O$26))</f>
        <v>0</v>
      </c>
      <c r="O49" s="88">
        <f>_xlfn.BITAND(1, _xlfn.BITRSHIFT(HEX2DEC($A49),P$26))</f>
        <v>0</v>
      </c>
      <c r="P49" s="88">
        <f>_xlfn.BITAND(1, _xlfn.BITRSHIFT(HEX2DEC($A49),Q$26))</f>
        <v>0</v>
      </c>
      <c r="Q49" s="89">
        <f>_xlfn.BITAND(1, _xlfn.BITRSHIFT(HEX2DEC($A49),R$26))</f>
        <v>0</v>
      </c>
      <c r="S49" s="38"/>
      <c r="T49" s="38"/>
    </row>
    <row r="50" spans="1:20" ht="13" x14ac:dyDescent="0.3">
      <c r="A50" s="62" t="str">
        <f>MID(A$20,83,2) &amp; MID(A$20,81,2)</f>
        <v>00C0</v>
      </c>
      <c r="B50" s="87">
        <f>_xlfn.BITAND(1, _xlfn.BITRSHIFT(HEX2DEC($A50),C$26))</f>
        <v>0</v>
      </c>
      <c r="C50" s="88">
        <f>_xlfn.BITAND(1, _xlfn.BITRSHIFT(HEX2DEC($A50),D$26))</f>
        <v>0</v>
      </c>
      <c r="D50" s="88">
        <f>_xlfn.BITAND(1, _xlfn.BITRSHIFT(HEX2DEC($A50),E$26))</f>
        <v>0</v>
      </c>
      <c r="E50" s="88">
        <f>_xlfn.BITAND(1, _xlfn.BITRSHIFT(HEX2DEC($A50),F$26))</f>
        <v>0</v>
      </c>
      <c r="F50" s="88">
        <f>_xlfn.BITAND(1, _xlfn.BITRSHIFT(HEX2DEC($A50),G$26))</f>
        <v>0</v>
      </c>
      <c r="G50" s="88">
        <f>_xlfn.BITAND(1, _xlfn.BITRSHIFT(HEX2DEC($A50),H$26))</f>
        <v>0</v>
      </c>
      <c r="H50" s="88">
        <f>_xlfn.BITAND(1, _xlfn.BITRSHIFT(HEX2DEC($A50),I$26))</f>
        <v>0</v>
      </c>
      <c r="I50" s="88">
        <f>_xlfn.BITAND(1, _xlfn.BITRSHIFT(HEX2DEC($A50),J$26))</f>
        <v>0</v>
      </c>
      <c r="J50" s="88">
        <f>_xlfn.BITAND(1, _xlfn.BITRSHIFT(HEX2DEC($A50),K$26))</f>
        <v>1</v>
      </c>
      <c r="K50" s="88">
        <f>_xlfn.BITAND(1, _xlfn.BITRSHIFT(HEX2DEC($A50),L$26))</f>
        <v>1</v>
      </c>
      <c r="L50" s="88">
        <f>_xlfn.BITAND(1, _xlfn.BITRSHIFT(HEX2DEC($A50),M$26))</f>
        <v>0</v>
      </c>
      <c r="M50" s="88">
        <f>_xlfn.BITAND(1, _xlfn.BITRSHIFT(HEX2DEC($A50),N$26))</f>
        <v>0</v>
      </c>
      <c r="N50" s="88">
        <f>_xlfn.BITAND(1, _xlfn.BITRSHIFT(HEX2DEC($A50),O$26))</f>
        <v>0</v>
      </c>
      <c r="O50" s="88">
        <f>_xlfn.BITAND(1, _xlfn.BITRSHIFT(HEX2DEC($A50),P$26))</f>
        <v>0</v>
      </c>
      <c r="P50" s="88">
        <f>_xlfn.BITAND(1, _xlfn.BITRSHIFT(HEX2DEC($A50),Q$26))</f>
        <v>0</v>
      </c>
      <c r="Q50" s="89">
        <f>_xlfn.BITAND(1, _xlfn.BITRSHIFT(HEX2DEC($A50),R$26))</f>
        <v>0</v>
      </c>
      <c r="S50" s="38"/>
      <c r="T50" s="38"/>
    </row>
    <row r="51" spans="1:20" ht="13" x14ac:dyDescent="0.3">
      <c r="A51" s="62" t="str">
        <f>MID(A$20,87,2) &amp; MID(A$20,85,2)</f>
        <v>06D8</v>
      </c>
      <c r="B51" s="87">
        <f>_xlfn.BITAND(1, _xlfn.BITRSHIFT(HEX2DEC($A51),C$26))</f>
        <v>0</v>
      </c>
      <c r="C51" s="88">
        <f>_xlfn.BITAND(1, _xlfn.BITRSHIFT(HEX2DEC($A51),D$26))</f>
        <v>0</v>
      </c>
      <c r="D51" s="88">
        <f>_xlfn.BITAND(1, _xlfn.BITRSHIFT(HEX2DEC($A51),E$26))</f>
        <v>0</v>
      </c>
      <c r="E51" s="88">
        <f>_xlfn.BITAND(1, _xlfn.BITRSHIFT(HEX2DEC($A51),F$26))</f>
        <v>0</v>
      </c>
      <c r="F51" s="88">
        <f>_xlfn.BITAND(1, _xlfn.BITRSHIFT(HEX2DEC($A51),G$26))</f>
        <v>0</v>
      </c>
      <c r="G51" s="88">
        <f>_xlfn.BITAND(1, _xlfn.BITRSHIFT(HEX2DEC($A51),H$26))</f>
        <v>1</v>
      </c>
      <c r="H51" s="88">
        <f>_xlfn.BITAND(1, _xlfn.BITRSHIFT(HEX2DEC($A51),I$26))</f>
        <v>1</v>
      </c>
      <c r="I51" s="88">
        <f>_xlfn.BITAND(1, _xlfn.BITRSHIFT(HEX2DEC($A51),J$26))</f>
        <v>0</v>
      </c>
      <c r="J51" s="88">
        <f>_xlfn.BITAND(1, _xlfn.BITRSHIFT(HEX2DEC($A51),K$26))</f>
        <v>1</v>
      </c>
      <c r="K51" s="88">
        <f>_xlfn.BITAND(1, _xlfn.BITRSHIFT(HEX2DEC($A51),L$26))</f>
        <v>1</v>
      </c>
      <c r="L51" s="88">
        <f>_xlfn.BITAND(1, _xlfn.BITRSHIFT(HEX2DEC($A51),M$26))</f>
        <v>0</v>
      </c>
      <c r="M51" s="88">
        <f>_xlfn.BITAND(1, _xlfn.BITRSHIFT(HEX2DEC($A51),N$26))</f>
        <v>1</v>
      </c>
      <c r="N51" s="88">
        <f>_xlfn.BITAND(1, _xlfn.BITRSHIFT(HEX2DEC($A51),O$26))</f>
        <v>1</v>
      </c>
      <c r="O51" s="88">
        <f>_xlfn.BITAND(1, _xlfn.BITRSHIFT(HEX2DEC($A51),P$26))</f>
        <v>0</v>
      </c>
      <c r="P51" s="88">
        <f>_xlfn.BITAND(1, _xlfn.BITRSHIFT(HEX2DEC($A51),Q$26))</f>
        <v>0</v>
      </c>
      <c r="Q51" s="89">
        <f>_xlfn.BITAND(1, _xlfn.BITRSHIFT(HEX2DEC($A51),R$26))</f>
        <v>0</v>
      </c>
      <c r="S51" s="38"/>
      <c r="T51" s="38"/>
    </row>
    <row r="52" spans="1:20" ht="13" x14ac:dyDescent="0.3">
      <c r="A52" s="62" t="str">
        <f>MID(A$20,91,2) &amp; MID(A$20,89,2)</f>
        <v>06DA</v>
      </c>
      <c r="B52" s="87">
        <f>_xlfn.BITAND(1, _xlfn.BITRSHIFT(HEX2DEC($A52),C$26))</f>
        <v>0</v>
      </c>
      <c r="C52" s="88">
        <f>_xlfn.BITAND(1, _xlfn.BITRSHIFT(HEX2DEC($A52),D$26))</f>
        <v>0</v>
      </c>
      <c r="D52" s="88">
        <f>_xlfn.BITAND(1, _xlfn.BITRSHIFT(HEX2DEC($A52),E$26))</f>
        <v>0</v>
      </c>
      <c r="E52" s="88">
        <f>_xlfn.BITAND(1, _xlfn.BITRSHIFT(HEX2DEC($A52),F$26))</f>
        <v>0</v>
      </c>
      <c r="F52" s="88">
        <f>_xlfn.BITAND(1, _xlfn.BITRSHIFT(HEX2DEC($A52),G$26))</f>
        <v>0</v>
      </c>
      <c r="G52" s="88">
        <f>_xlfn.BITAND(1, _xlfn.BITRSHIFT(HEX2DEC($A52),H$26))</f>
        <v>1</v>
      </c>
      <c r="H52" s="88">
        <f>_xlfn.BITAND(1, _xlfn.BITRSHIFT(HEX2DEC($A52),I$26))</f>
        <v>1</v>
      </c>
      <c r="I52" s="88">
        <f>_xlfn.BITAND(1, _xlfn.BITRSHIFT(HEX2DEC($A52),J$26))</f>
        <v>0</v>
      </c>
      <c r="J52" s="88">
        <f>_xlfn.BITAND(1, _xlfn.BITRSHIFT(HEX2DEC($A52),K$26))</f>
        <v>1</v>
      </c>
      <c r="K52" s="88">
        <f>_xlfn.BITAND(1, _xlfn.BITRSHIFT(HEX2DEC($A52),L$26))</f>
        <v>1</v>
      </c>
      <c r="L52" s="88">
        <f>_xlfn.BITAND(1, _xlfn.BITRSHIFT(HEX2DEC($A52),M$26))</f>
        <v>0</v>
      </c>
      <c r="M52" s="88">
        <f>_xlfn.BITAND(1, _xlfn.BITRSHIFT(HEX2DEC($A52),N$26))</f>
        <v>1</v>
      </c>
      <c r="N52" s="88">
        <f>_xlfn.BITAND(1, _xlfn.BITRSHIFT(HEX2DEC($A52),O$26))</f>
        <v>1</v>
      </c>
      <c r="O52" s="88">
        <f>_xlfn.BITAND(1, _xlfn.BITRSHIFT(HEX2DEC($A52),P$26))</f>
        <v>0</v>
      </c>
      <c r="P52" s="88">
        <f>_xlfn.BITAND(1, _xlfn.BITRSHIFT(HEX2DEC($A52),Q$26))</f>
        <v>1</v>
      </c>
      <c r="Q52" s="89">
        <f>_xlfn.BITAND(1, _xlfn.BITRSHIFT(HEX2DEC($A52),R$26))</f>
        <v>0</v>
      </c>
      <c r="S52" s="38"/>
      <c r="T52" s="38"/>
    </row>
    <row r="53" spans="1:20" ht="13" x14ac:dyDescent="0.3">
      <c r="A53" s="62" t="str">
        <f>MID(A$20,95,2) &amp; MID(A$20,93,2)</f>
        <v>06DA</v>
      </c>
      <c r="B53" s="87">
        <f>_xlfn.BITAND(1, _xlfn.BITRSHIFT(HEX2DEC($A53),C$26))</f>
        <v>0</v>
      </c>
      <c r="C53" s="88">
        <f>_xlfn.BITAND(1, _xlfn.BITRSHIFT(HEX2DEC($A53),D$26))</f>
        <v>0</v>
      </c>
      <c r="D53" s="88">
        <f>_xlfn.BITAND(1, _xlfn.BITRSHIFT(HEX2DEC($A53),E$26))</f>
        <v>0</v>
      </c>
      <c r="E53" s="88">
        <f>_xlfn.BITAND(1, _xlfn.BITRSHIFT(HEX2DEC($A53),F$26))</f>
        <v>0</v>
      </c>
      <c r="F53" s="88">
        <f>_xlfn.BITAND(1, _xlfn.BITRSHIFT(HEX2DEC($A53),G$26))</f>
        <v>0</v>
      </c>
      <c r="G53" s="88">
        <f>_xlfn.BITAND(1, _xlfn.BITRSHIFT(HEX2DEC($A53),H$26))</f>
        <v>1</v>
      </c>
      <c r="H53" s="88">
        <f>_xlfn.BITAND(1, _xlfn.BITRSHIFT(HEX2DEC($A53),I$26))</f>
        <v>1</v>
      </c>
      <c r="I53" s="88">
        <f>_xlfn.BITAND(1, _xlfn.BITRSHIFT(HEX2DEC($A53),J$26))</f>
        <v>0</v>
      </c>
      <c r="J53" s="88">
        <f>_xlfn.BITAND(1, _xlfn.BITRSHIFT(HEX2DEC($A53),K$26))</f>
        <v>1</v>
      </c>
      <c r="K53" s="88">
        <f>_xlfn.BITAND(1, _xlfn.BITRSHIFT(HEX2DEC($A53),L$26))</f>
        <v>1</v>
      </c>
      <c r="L53" s="88">
        <f>_xlfn.BITAND(1, _xlfn.BITRSHIFT(HEX2DEC($A53),M$26))</f>
        <v>0</v>
      </c>
      <c r="M53" s="88">
        <f>_xlfn.BITAND(1, _xlfn.BITRSHIFT(HEX2DEC($A53),N$26))</f>
        <v>1</v>
      </c>
      <c r="N53" s="88">
        <f>_xlfn.BITAND(1, _xlfn.BITRSHIFT(HEX2DEC($A53),O$26))</f>
        <v>1</v>
      </c>
      <c r="O53" s="88">
        <f>_xlfn.BITAND(1, _xlfn.BITRSHIFT(HEX2DEC($A53),P$26))</f>
        <v>0</v>
      </c>
      <c r="P53" s="88">
        <f>_xlfn.BITAND(1, _xlfn.BITRSHIFT(HEX2DEC($A53),Q$26))</f>
        <v>1</v>
      </c>
      <c r="Q53" s="89">
        <f>_xlfn.BITAND(1, _xlfn.BITRSHIFT(HEX2DEC($A53),R$26))</f>
        <v>0</v>
      </c>
      <c r="S53" s="38"/>
      <c r="T53" s="38"/>
    </row>
    <row r="54" spans="1:20" ht="13" x14ac:dyDescent="0.3">
      <c r="A54" s="62" t="str">
        <f>MID(A$20,99,2) &amp; MID(A$20,97,2)</f>
        <v>06DA</v>
      </c>
      <c r="B54" s="87">
        <f>_xlfn.BITAND(1, _xlfn.BITRSHIFT(HEX2DEC($A54),C$26))</f>
        <v>0</v>
      </c>
      <c r="C54" s="88">
        <f>_xlfn.BITAND(1, _xlfn.BITRSHIFT(HEX2DEC($A54),D$26))</f>
        <v>0</v>
      </c>
      <c r="D54" s="88">
        <f>_xlfn.BITAND(1, _xlfn.BITRSHIFT(HEX2DEC($A54),E$26))</f>
        <v>0</v>
      </c>
      <c r="E54" s="88">
        <f>_xlfn.BITAND(1, _xlfn.BITRSHIFT(HEX2DEC($A54),F$26))</f>
        <v>0</v>
      </c>
      <c r="F54" s="88">
        <f>_xlfn.BITAND(1, _xlfn.BITRSHIFT(HEX2DEC($A54),G$26))</f>
        <v>0</v>
      </c>
      <c r="G54" s="88">
        <f>_xlfn.BITAND(1, _xlfn.BITRSHIFT(HEX2DEC($A54),H$26))</f>
        <v>1</v>
      </c>
      <c r="H54" s="88">
        <f>_xlfn.BITAND(1, _xlfn.BITRSHIFT(HEX2DEC($A54),I$26))</f>
        <v>1</v>
      </c>
      <c r="I54" s="88">
        <f>_xlfn.BITAND(1, _xlfn.BITRSHIFT(HEX2DEC($A54),J$26))</f>
        <v>0</v>
      </c>
      <c r="J54" s="88">
        <f>_xlfn.BITAND(1, _xlfn.BITRSHIFT(HEX2DEC($A54),K$26))</f>
        <v>1</v>
      </c>
      <c r="K54" s="88">
        <f>_xlfn.BITAND(1, _xlfn.BITRSHIFT(HEX2DEC($A54),L$26))</f>
        <v>1</v>
      </c>
      <c r="L54" s="88">
        <f>_xlfn.BITAND(1, _xlfn.BITRSHIFT(HEX2DEC($A54),M$26))</f>
        <v>0</v>
      </c>
      <c r="M54" s="88">
        <f>_xlfn.BITAND(1, _xlfn.BITRSHIFT(HEX2DEC($A54),N$26))</f>
        <v>1</v>
      </c>
      <c r="N54" s="88">
        <f>_xlfn.BITAND(1, _xlfn.BITRSHIFT(HEX2DEC($A54),O$26))</f>
        <v>1</v>
      </c>
      <c r="O54" s="88">
        <f>_xlfn.BITAND(1, _xlfn.BITRSHIFT(HEX2DEC($A54),P$26))</f>
        <v>0</v>
      </c>
      <c r="P54" s="88">
        <f>_xlfn.BITAND(1, _xlfn.BITRSHIFT(HEX2DEC($A54),Q$26))</f>
        <v>1</v>
      </c>
      <c r="Q54" s="89">
        <f>_xlfn.BITAND(1, _xlfn.BITRSHIFT(HEX2DEC($A54),R$26))</f>
        <v>0</v>
      </c>
      <c r="S54" s="38"/>
      <c r="T54" s="38"/>
    </row>
    <row r="55" spans="1:20" ht="13" x14ac:dyDescent="0.3">
      <c r="A55" s="62" t="str">
        <f>MID(A$20,103,2) &amp; MID(A$20,101,2)</f>
        <v>06DA</v>
      </c>
      <c r="B55" s="87">
        <f>_xlfn.BITAND(1, _xlfn.BITRSHIFT(HEX2DEC($A55),C$26))</f>
        <v>0</v>
      </c>
      <c r="C55" s="88">
        <f>_xlfn.BITAND(1, _xlfn.BITRSHIFT(HEX2DEC($A55),D$26))</f>
        <v>0</v>
      </c>
      <c r="D55" s="88">
        <f>_xlfn.BITAND(1, _xlfn.BITRSHIFT(HEX2DEC($A55),E$26))</f>
        <v>0</v>
      </c>
      <c r="E55" s="88">
        <f>_xlfn.BITAND(1, _xlfn.BITRSHIFT(HEX2DEC($A55),F$26))</f>
        <v>0</v>
      </c>
      <c r="F55" s="88">
        <f>_xlfn.BITAND(1, _xlfn.BITRSHIFT(HEX2DEC($A55),G$26))</f>
        <v>0</v>
      </c>
      <c r="G55" s="88">
        <f>_xlfn.BITAND(1, _xlfn.BITRSHIFT(HEX2DEC($A55),H$26))</f>
        <v>1</v>
      </c>
      <c r="H55" s="88">
        <f>_xlfn.BITAND(1, _xlfn.BITRSHIFT(HEX2DEC($A55),I$26))</f>
        <v>1</v>
      </c>
      <c r="I55" s="88">
        <f>_xlfn.BITAND(1, _xlfn.BITRSHIFT(HEX2DEC($A55),J$26))</f>
        <v>0</v>
      </c>
      <c r="J55" s="88">
        <f>_xlfn.BITAND(1, _xlfn.BITRSHIFT(HEX2DEC($A55),K$26))</f>
        <v>1</v>
      </c>
      <c r="K55" s="88">
        <f>_xlfn.BITAND(1, _xlfn.BITRSHIFT(HEX2DEC($A55),L$26))</f>
        <v>1</v>
      </c>
      <c r="L55" s="88">
        <f>_xlfn.BITAND(1, _xlfn.BITRSHIFT(HEX2DEC($A55),M$26))</f>
        <v>0</v>
      </c>
      <c r="M55" s="88">
        <f>_xlfn.BITAND(1, _xlfn.BITRSHIFT(HEX2DEC($A55),N$26))</f>
        <v>1</v>
      </c>
      <c r="N55" s="88">
        <f>_xlfn.BITAND(1, _xlfn.BITRSHIFT(HEX2DEC($A55),O$26))</f>
        <v>1</v>
      </c>
      <c r="O55" s="88">
        <f>_xlfn.BITAND(1, _xlfn.BITRSHIFT(HEX2DEC($A55),P$26))</f>
        <v>0</v>
      </c>
      <c r="P55" s="88">
        <f>_xlfn.BITAND(1, _xlfn.BITRSHIFT(HEX2DEC($A55),Q$26))</f>
        <v>1</v>
      </c>
      <c r="Q55" s="89">
        <f>_xlfn.BITAND(1, _xlfn.BITRSHIFT(HEX2DEC($A55),R$26))</f>
        <v>0</v>
      </c>
      <c r="S55" s="38"/>
      <c r="T55" s="38"/>
    </row>
    <row r="56" spans="1:20" ht="13" x14ac:dyDescent="0.3">
      <c r="A56" s="62" t="str">
        <f>MID(A$20,107,2) &amp; MID(A$20,105,2)</f>
        <v>6FFA</v>
      </c>
      <c r="B56" s="87">
        <f>_xlfn.BITAND(1, _xlfn.BITRSHIFT(HEX2DEC($A56),C$26))</f>
        <v>0</v>
      </c>
      <c r="C56" s="88">
        <f>_xlfn.BITAND(1, _xlfn.BITRSHIFT(HEX2DEC($A56),D$26))</f>
        <v>1</v>
      </c>
      <c r="D56" s="88">
        <f>_xlfn.BITAND(1, _xlfn.BITRSHIFT(HEX2DEC($A56),E$26))</f>
        <v>1</v>
      </c>
      <c r="E56" s="88">
        <f>_xlfn.BITAND(1, _xlfn.BITRSHIFT(HEX2DEC($A56),F$26))</f>
        <v>0</v>
      </c>
      <c r="F56" s="88">
        <f>_xlfn.BITAND(1, _xlfn.BITRSHIFT(HEX2DEC($A56),G$26))</f>
        <v>1</v>
      </c>
      <c r="G56" s="88">
        <f>_xlfn.BITAND(1, _xlfn.BITRSHIFT(HEX2DEC($A56),H$26))</f>
        <v>1</v>
      </c>
      <c r="H56" s="88">
        <f>_xlfn.BITAND(1, _xlfn.BITRSHIFT(HEX2DEC($A56),I$26))</f>
        <v>1</v>
      </c>
      <c r="I56" s="88">
        <f>_xlfn.BITAND(1, _xlfn.BITRSHIFT(HEX2DEC($A56),J$26))</f>
        <v>1</v>
      </c>
      <c r="J56" s="88">
        <f>_xlfn.BITAND(1, _xlfn.BITRSHIFT(HEX2DEC($A56),K$26))</f>
        <v>1</v>
      </c>
      <c r="K56" s="88">
        <f>_xlfn.BITAND(1, _xlfn.BITRSHIFT(HEX2DEC($A56),L$26))</f>
        <v>1</v>
      </c>
      <c r="L56" s="88">
        <f>_xlfn.BITAND(1, _xlfn.BITRSHIFT(HEX2DEC($A56),M$26))</f>
        <v>1</v>
      </c>
      <c r="M56" s="88">
        <f>_xlfn.BITAND(1, _xlfn.BITRSHIFT(HEX2DEC($A56),N$26))</f>
        <v>1</v>
      </c>
      <c r="N56" s="88">
        <f>_xlfn.BITAND(1, _xlfn.BITRSHIFT(HEX2DEC($A56),O$26))</f>
        <v>1</v>
      </c>
      <c r="O56" s="88">
        <f>_xlfn.BITAND(1, _xlfn.BITRSHIFT(HEX2DEC($A56),P$26))</f>
        <v>0</v>
      </c>
      <c r="P56" s="88">
        <f>_xlfn.BITAND(1, _xlfn.BITRSHIFT(HEX2DEC($A56),Q$26))</f>
        <v>1</v>
      </c>
      <c r="Q56" s="89">
        <f>_xlfn.BITAND(1, _xlfn.BITRSHIFT(HEX2DEC($A56),R$26))</f>
        <v>0</v>
      </c>
      <c r="S56" s="38"/>
      <c r="T56" s="38"/>
    </row>
    <row r="57" spans="1:20" ht="13" x14ac:dyDescent="0.3">
      <c r="A57" s="62" t="str">
        <f>MID(A$20,111,2) &amp; MID(A$20,109,2)</f>
        <v>7FFE</v>
      </c>
      <c r="B57" s="87">
        <f>_xlfn.BITAND(1, _xlfn.BITRSHIFT(HEX2DEC($A57),C$26))</f>
        <v>0</v>
      </c>
      <c r="C57" s="88">
        <f>_xlfn.BITAND(1, _xlfn.BITRSHIFT(HEX2DEC($A57),D$26))</f>
        <v>1</v>
      </c>
      <c r="D57" s="88">
        <f>_xlfn.BITAND(1, _xlfn.BITRSHIFT(HEX2DEC($A57),E$26))</f>
        <v>1</v>
      </c>
      <c r="E57" s="88">
        <f>_xlfn.BITAND(1, _xlfn.BITRSHIFT(HEX2DEC($A57),F$26))</f>
        <v>1</v>
      </c>
      <c r="F57" s="88">
        <f>_xlfn.BITAND(1, _xlfn.BITRSHIFT(HEX2DEC($A57),G$26))</f>
        <v>1</v>
      </c>
      <c r="G57" s="88">
        <f>_xlfn.BITAND(1, _xlfn.BITRSHIFT(HEX2DEC($A57),H$26))</f>
        <v>1</v>
      </c>
      <c r="H57" s="88">
        <f>_xlfn.BITAND(1, _xlfn.BITRSHIFT(HEX2DEC($A57),I$26))</f>
        <v>1</v>
      </c>
      <c r="I57" s="88">
        <f>_xlfn.BITAND(1, _xlfn.BITRSHIFT(HEX2DEC($A57),J$26))</f>
        <v>1</v>
      </c>
      <c r="J57" s="88">
        <f>_xlfn.BITAND(1, _xlfn.BITRSHIFT(HEX2DEC($A57),K$26))</f>
        <v>1</v>
      </c>
      <c r="K57" s="88">
        <f>_xlfn.BITAND(1, _xlfn.BITRSHIFT(HEX2DEC($A57),L$26))</f>
        <v>1</v>
      </c>
      <c r="L57" s="88">
        <f>_xlfn.BITAND(1, _xlfn.BITRSHIFT(HEX2DEC($A57),M$26))</f>
        <v>1</v>
      </c>
      <c r="M57" s="88">
        <f>_xlfn.BITAND(1, _xlfn.BITRSHIFT(HEX2DEC($A57),N$26))</f>
        <v>1</v>
      </c>
      <c r="N57" s="88">
        <f>_xlfn.BITAND(1, _xlfn.BITRSHIFT(HEX2DEC($A57),O$26))</f>
        <v>1</v>
      </c>
      <c r="O57" s="88">
        <f>_xlfn.BITAND(1, _xlfn.BITRSHIFT(HEX2DEC($A57),P$26))</f>
        <v>1</v>
      </c>
      <c r="P57" s="88">
        <f>_xlfn.BITAND(1, _xlfn.BITRSHIFT(HEX2DEC($A57),Q$26))</f>
        <v>1</v>
      </c>
      <c r="Q57" s="89">
        <f>_xlfn.BITAND(1, _xlfn.BITRSHIFT(HEX2DEC($A57),R$26))</f>
        <v>0</v>
      </c>
      <c r="S57" s="38"/>
      <c r="T57" s="38"/>
    </row>
    <row r="58" spans="1:20" ht="13" x14ac:dyDescent="0.3">
      <c r="A58" s="62" t="str">
        <f>MID(A$20,115,2) &amp; MID(A$20,113,2)</f>
        <v>7FFE</v>
      </c>
      <c r="B58" s="87">
        <f>_xlfn.BITAND(1, _xlfn.BITRSHIFT(HEX2DEC($A58),C$26))</f>
        <v>0</v>
      </c>
      <c r="C58" s="88">
        <f>_xlfn.BITAND(1, _xlfn.BITRSHIFT(HEX2DEC($A58),D$26))</f>
        <v>1</v>
      </c>
      <c r="D58" s="88">
        <f>_xlfn.BITAND(1, _xlfn.BITRSHIFT(HEX2DEC($A58),E$26))</f>
        <v>1</v>
      </c>
      <c r="E58" s="88">
        <f>_xlfn.BITAND(1, _xlfn.BITRSHIFT(HEX2DEC($A58),F$26))</f>
        <v>1</v>
      </c>
      <c r="F58" s="88">
        <f>_xlfn.BITAND(1, _xlfn.BITRSHIFT(HEX2DEC($A58),G$26))</f>
        <v>1</v>
      </c>
      <c r="G58" s="88">
        <f>_xlfn.BITAND(1, _xlfn.BITRSHIFT(HEX2DEC($A58),H$26))</f>
        <v>1</v>
      </c>
      <c r="H58" s="88">
        <f>_xlfn.BITAND(1, _xlfn.BITRSHIFT(HEX2DEC($A58),I$26))</f>
        <v>1</v>
      </c>
      <c r="I58" s="88">
        <f>_xlfn.BITAND(1, _xlfn.BITRSHIFT(HEX2DEC($A58),J$26))</f>
        <v>1</v>
      </c>
      <c r="J58" s="88">
        <f>_xlfn.BITAND(1, _xlfn.BITRSHIFT(HEX2DEC($A58),K$26))</f>
        <v>1</v>
      </c>
      <c r="K58" s="88">
        <f>_xlfn.BITAND(1, _xlfn.BITRSHIFT(HEX2DEC($A58),L$26))</f>
        <v>1</v>
      </c>
      <c r="L58" s="88">
        <f>_xlfn.BITAND(1, _xlfn.BITRSHIFT(HEX2DEC($A58),M$26))</f>
        <v>1</v>
      </c>
      <c r="M58" s="88">
        <f>_xlfn.BITAND(1, _xlfn.BITRSHIFT(HEX2DEC($A58),N$26))</f>
        <v>1</v>
      </c>
      <c r="N58" s="88">
        <f>_xlfn.BITAND(1, _xlfn.BITRSHIFT(HEX2DEC($A58),O$26))</f>
        <v>1</v>
      </c>
      <c r="O58" s="88">
        <f>_xlfn.BITAND(1, _xlfn.BITRSHIFT(HEX2DEC($A58),P$26))</f>
        <v>1</v>
      </c>
      <c r="P58" s="88">
        <f>_xlfn.BITAND(1, _xlfn.BITRSHIFT(HEX2DEC($A58),Q$26))</f>
        <v>1</v>
      </c>
      <c r="Q58" s="89">
        <f>_xlfn.BITAND(1, _xlfn.BITRSHIFT(HEX2DEC($A58),R$26))</f>
        <v>0</v>
      </c>
      <c r="S58" s="38"/>
      <c r="T58" s="38"/>
    </row>
    <row r="59" spans="1:20" ht="13" x14ac:dyDescent="0.3">
      <c r="A59" s="62" t="str">
        <f>MID(A$20,119,2) &amp; MID(A$20,117,2)</f>
        <v>3FFC</v>
      </c>
      <c r="B59" s="87">
        <f>_xlfn.BITAND(1, _xlfn.BITRSHIFT(HEX2DEC($A59),C$26))</f>
        <v>0</v>
      </c>
      <c r="C59" s="88">
        <f>_xlfn.BITAND(1, _xlfn.BITRSHIFT(HEX2DEC($A59),D$26))</f>
        <v>0</v>
      </c>
      <c r="D59" s="88">
        <f>_xlfn.BITAND(1, _xlfn.BITRSHIFT(HEX2DEC($A59),E$26))</f>
        <v>1</v>
      </c>
      <c r="E59" s="88">
        <f>_xlfn.BITAND(1, _xlfn.BITRSHIFT(HEX2DEC($A59),F$26))</f>
        <v>1</v>
      </c>
      <c r="F59" s="88">
        <f>_xlfn.BITAND(1, _xlfn.BITRSHIFT(HEX2DEC($A59),G$26))</f>
        <v>1</v>
      </c>
      <c r="G59" s="88">
        <f>_xlfn.BITAND(1, _xlfn.BITRSHIFT(HEX2DEC($A59),H$26))</f>
        <v>1</v>
      </c>
      <c r="H59" s="88">
        <f>_xlfn.BITAND(1, _xlfn.BITRSHIFT(HEX2DEC($A59),I$26))</f>
        <v>1</v>
      </c>
      <c r="I59" s="88">
        <f>_xlfn.BITAND(1, _xlfn.BITRSHIFT(HEX2DEC($A59),J$26))</f>
        <v>1</v>
      </c>
      <c r="J59" s="88">
        <f>_xlfn.BITAND(1, _xlfn.BITRSHIFT(HEX2DEC($A59),K$26))</f>
        <v>1</v>
      </c>
      <c r="K59" s="88">
        <f>_xlfn.BITAND(1, _xlfn.BITRSHIFT(HEX2DEC($A59),L$26))</f>
        <v>1</v>
      </c>
      <c r="L59" s="88">
        <f>_xlfn.BITAND(1, _xlfn.BITRSHIFT(HEX2DEC($A59),M$26))</f>
        <v>1</v>
      </c>
      <c r="M59" s="88">
        <f>_xlfn.BITAND(1, _xlfn.BITRSHIFT(HEX2DEC($A59),N$26))</f>
        <v>1</v>
      </c>
      <c r="N59" s="88">
        <f>_xlfn.BITAND(1, _xlfn.BITRSHIFT(HEX2DEC($A59),O$26))</f>
        <v>1</v>
      </c>
      <c r="O59" s="88">
        <f>_xlfn.BITAND(1, _xlfn.BITRSHIFT(HEX2DEC($A59),P$26))</f>
        <v>1</v>
      </c>
      <c r="P59" s="88">
        <f>_xlfn.BITAND(1, _xlfn.BITRSHIFT(HEX2DEC($A59),Q$26))</f>
        <v>0</v>
      </c>
      <c r="Q59" s="89">
        <f>_xlfn.BITAND(1, _xlfn.BITRSHIFT(HEX2DEC($A59),R$26))</f>
        <v>0</v>
      </c>
      <c r="S59" s="38"/>
      <c r="T59" s="38"/>
    </row>
    <row r="60" spans="1:20" ht="13" x14ac:dyDescent="0.3">
      <c r="A60" s="62" t="str">
        <f>MID(A$20,123,2) &amp; MID(A$20,121,2)</f>
        <v>1FFC</v>
      </c>
      <c r="B60" s="87">
        <f>_xlfn.BITAND(1, _xlfn.BITRSHIFT(HEX2DEC($A60),C$26))</f>
        <v>0</v>
      </c>
      <c r="C60" s="88">
        <f>_xlfn.BITAND(1, _xlfn.BITRSHIFT(HEX2DEC($A60),D$26))</f>
        <v>0</v>
      </c>
      <c r="D60" s="88">
        <f>_xlfn.BITAND(1, _xlfn.BITRSHIFT(HEX2DEC($A60),E$26))</f>
        <v>0</v>
      </c>
      <c r="E60" s="88">
        <f>_xlfn.BITAND(1, _xlfn.BITRSHIFT(HEX2DEC($A60),F$26))</f>
        <v>1</v>
      </c>
      <c r="F60" s="88">
        <f>_xlfn.BITAND(1, _xlfn.BITRSHIFT(HEX2DEC($A60),G$26))</f>
        <v>1</v>
      </c>
      <c r="G60" s="88">
        <f>_xlfn.BITAND(1, _xlfn.BITRSHIFT(HEX2DEC($A60),H$26))</f>
        <v>1</v>
      </c>
      <c r="H60" s="88">
        <f>_xlfn.BITAND(1, _xlfn.BITRSHIFT(HEX2DEC($A60),I$26))</f>
        <v>1</v>
      </c>
      <c r="I60" s="88">
        <f>_xlfn.BITAND(1, _xlfn.BITRSHIFT(HEX2DEC($A60),J$26))</f>
        <v>1</v>
      </c>
      <c r="J60" s="88">
        <f>_xlfn.BITAND(1, _xlfn.BITRSHIFT(HEX2DEC($A60),K$26))</f>
        <v>1</v>
      </c>
      <c r="K60" s="88">
        <f>_xlfn.BITAND(1, _xlfn.BITRSHIFT(HEX2DEC($A60),L$26))</f>
        <v>1</v>
      </c>
      <c r="L60" s="88">
        <f>_xlfn.BITAND(1, _xlfn.BITRSHIFT(HEX2DEC($A60),M$26))</f>
        <v>1</v>
      </c>
      <c r="M60" s="88">
        <f>_xlfn.BITAND(1, _xlfn.BITRSHIFT(HEX2DEC($A60),N$26))</f>
        <v>1</v>
      </c>
      <c r="N60" s="88">
        <f>_xlfn.BITAND(1, _xlfn.BITRSHIFT(HEX2DEC($A60),O$26))</f>
        <v>1</v>
      </c>
      <c r="O60" s="88">
        <f>_xlfn.BITAND(1, _xlfn.BITRSHIFT(HEX2DEC($A60),P$26))</f>
        <v>1</v>
      </c>
      <c r="P60" s="88">
        <f>_xlfn.BITAND(1, _xlfn.BITRSHIFT(HEX2DEC($A60),Q$26))</f>
        <v>0</v>
      </c>
      <c r="Q60" s="89">
        <f>_xlfn.BITAND(1, _xlfn.BITRSHIFT(HEX2DEC($A60),R$26))</f>
        <v>0</v>
      </c>
      <c r="S60" s="38"/>
      <c r="T60" s="38"/>
    </row>
    <row r="61" spans="1:20" ht="13" x14ac:dyDescent="0.3">
      <c r="A61" s="62" t="str">
        <f>MID(A$20,127,2) &amp; MID(A$20,125,2)</f>
        <v>0FF8</v>
      </c>
      <c r="B61" s="87">
        <f>_xlfn.BITAND(1, _xlfn.BITRSHIFT(HEX2DEC($A61),C$26))</f>
        <v>0</v>
      </c>
      <c r="C61" s="88">
        <f>_xlfn.BITAND(1, _xlfn.BITRSHIFT(HEX2DEC($A61),D$26))</f>
        <v>0</v>
      </c>
      <c r="D61" s="88">
        <f>_xlfn.BITAND(1, _xlfn.BITRSHIFT(HEX2DEC($A61),E$26))</f>
        <v>0</v>
      </c>
      <c r="E61" s="88">
        <f>_xlfn.BITAND(1, _xlfn.BITRSHIFT(HEX2DEC($A61),F$26))</f>
        <v>0</v>
      </c>
      <c r="F61" s="88">
        <f>_xlfn.BITAND(1, _xlfn.BITRSHIFT(HEX2DEC($A61),G$26))</f>
        <v>1</v>
      </c>
      <c r="G61" s="88">
        <f>_xlfn.BITAND(1, _xlfn.BITRSHIFT(HEX2DEC($A61),H$26))</f>
        <v>1</v>
      </c>
      <c r="H61" s="88">
        <f>_xlfn.BITAND(1, _xlfn.BITRSHIFT(HEX2DEC($A61),I$26))</f>
        <v>1</v>
      </c>
      <c r="I61" s="88">
        <f>_xlfn.BITAND(1, _xlfn.BITRSHIFT(HEX2DEC($A61),J$26))</f>
        <v>1</v>
      </c>
      <c r="J61" s="88">
        <f>_xlfn.BITAND(1, _xlfn.BITRSHIFT(HEX2DEC($A61),K$26))</f>
        <v>1</v>
      </c>
      <c r="K61" s="88">
        <f>_xlfn.BITAND(1, _xlfn.BITRSHIFT(HEX2DEC($A61),L$26))</f>
        <v>1</v>
      </c>
      <c r="L61" s="88">
        <f>_xlfn.BITAND(1, _xlfn.BITRSHIFT(HEX2DEC($A61),M$26))</f>
        <v>1</v>
      </c>
      <c r="M61" s="88">
        <f>_xlfn.BITAND(1, _xlfn.BITRSHIFT(HEX2DEC($A61),N$26))</f>
        <v>1</v>
      </c>
      <c r="N61" s="88">
        <f>_xlfn.BITAND(1, _xlfn.BITRSHIFT(HEX2DEC($A61),O$26))</f>
        <v>1</v>
      </c>
      <c r="O61" s="88">
        <f>_xlfn.BITAND(1, _xlfn.BITRSHIFT(HEX2DEC($A61),P$26))</f>
        <v>0</v>
      </c>
      <c r="P61" s="88">
        <f>_xlfn.BITAND(1, _xlfn.BITRSHIFT(HEX2DEC($A61),Q$26))</f>
        <v>0</v>
      </c>
      <c r="Q61" s="89">
        <f>_xlfn.BITAND(1, _xlfn.BITRSHIFT(HEX2DEC($A61),R$26))</f>
        <v>0</v>
      </c>
      <c r="S61" s="38"/>
      <c r="T61" s="38"/>
    </row>
    <row r="62" spans="1:20" ht="13" x14ac:dyDescent="0.3">
      <c r="A62" s="62" t="str">
        <f>MID(A$20,131,2) &amp; MID(A$20,129,2)</f>
        <v>0000</v>
      </c>
      <c r="B62" s="90">
        <f>_xlfn.BITAND(1, _xlfn.BITRSHIFT(HEX2DEC($A62),C$26))</f>
        <v>0</v>
      </c>
      <c r="C62" s="91">
        <f>_xlfn.BITAND(1, _xlfn.BITRSHIFT(HEX2DEC($A62),D$26))</f>
        <v>0</v>
      </c>
      <c r="D62" s="91">
        <f>_xlfn.BITAND(1, _xlfn.BITRSHIFT(HEX2DEC($A62),E$26))</f>
        <v>0</v>
      </c>
      <c r="E62" s="91">
        <f>_xlfn.BITAND(1, _xlfn.BITRSHIFT(HEX2DEC($A62),F$26))</f>
        <v>0</v>
      </c>
      <c r="F62" s="91">
        <f>_xlfn.BITAND(1, _xlfn.BITRSHIFT(HEX2DEC($A62),G$26))</f>
        <v>0</v>
      </c>
      <c r="G62" s="91">
        <f>_xlfn.BITAND(1, _xlfn.BITRSHIFT(HEX2DEC($A62),H$26))</f>
        <v>0</v>
      </c>
      <c r="H62" s="91">
        <f>_xlfn.BITAND(1, _xlfn.BITRSHIFT(HEX2DEC($A62),I$26))</f>
        <v>0</v>
      </c>
      <c r="I62" s="91">
        <f>_xlfn.BITAND(1, _xlfn.BITRSHIFT(HEX2DEC($A62),J$26))</f>
        <v>0</v>
      </c>
      <c r="J62" s="91">
        <f>_xlfn.BITAND(1, _xlfn.BITRSHIFT(HEX2DEC($A62),K$26))</f>
        <v>0</v>
      </c>
      <c r="K62" s="91">
        <f>_xlfn.BITAND(1, _xlfn.BITRSHIFT(HEX2DEC($A62),L$26))</f>
        <v>0</v>
      </c>
      <c r="L62" s="91">
        <f>_xlfn.BITAND(1, _xlfn.BITRSHIFT(HEX2DEC($A62),M$26))</f>
        <v>0</v>
      </c>
      <c r="M62" s="91">
        <f>_xlfn.BITAND(1, _xlfn.BITRSHIFT(HEX2DEC($A62),N$26))</f>
        <v>0</v>
      </c>
      <c r="N62" s="91">
        <f>_xlfn.BITAND(1, _xlfn.BITRSHIFT(HEX2DEC($A62),O$26))</f>
        <v>0</v>
      </c>
      <c r="O62" s="91">
        <f>_xlfn.BITAND(1, _xlfn.BITRSHIFT(HEX2DEC($A62),P$26))</f>
        <v>0</v>
      </c>
      <c r="P62" s="91">
        <f>_xlfn.BITAND(1, _xlfn.BITRSHIFT(HEX2DEC($A62),Q$26))</f>
        <v>0</v>
      </c>
      <c r="Q62" s="92">
        <f>_xlfn.BITAND(1, _xlfn.BITRSHIFT(HEX2DEC($A62),R$26))</f>
        <v>0</v>
      </c>
      <c r="S62" s="38"/>
      <c r="T62" s="38"/>
    </row>
    <row r="63" spans="1:20" x14ac:dyDescent="0.25">
      <c r="A63" s="38"/>
      <c r="B63" s="38"/>
      <c r="C63" s="38"/>
      <c r="D63" s="38"/>
      <c r="E63" s="38"/>
      <c r="F63" s="38"/>
      <c r="G63" s="38"/>
      <c r="H63" s="38"/>
      <c r="I63" s="38"/>
      <c r="J63" s="38"/>
      <c r="K63" s="38"/>
      <c r="L63" s="38"/>
      <c r="M63" s="38"/>
      <c r="N63" s="38"/>
      <c r="O63" s="38"/>
      <c r="P63" s="38"/>
      <c r="Q63" s="38"/>
      <c r="R63" s="38"/>
      <c r="S63" s="38"/>
      <c r="T63" s="38"/>
    </row>
    <row r="64" spans="1:20" x14ac:dyDescent="0.25">
      <c r="A64" s="38"/>
      <c r="B64" s="38"/>
      <c r="C64" s="38"/>
      <c r="D64" s="38"/>
      <c r="E64" s="38"/>
      <c r="F64" s="38"/>
      <c r="G64" s="38"/>
      <c r="H64" s="38"/>
      <c r="I64" s="38"/>
      <c r="J64" s="38"/>
      <c r="K64" s="38"/>
      <c r="L64" s="38"/>
      <c r="M64" s="38"/>
      <c r="N64" s="38"/>
      <c r="O64" s="38"/>
      <c r="P64" s="38"/>
      <c r="Q64" s="38"/>
      <c r="R64" s="38"/>
      <c r="S64" s="38"/>
      <c r="T64" s="38"/>
    </row>
    <row r="65" spans="1:20" x14ac:dyDescent="0.25">
      <c r="A65" s="38"/>
      <c r="B65" s="38"/>
      <c r="C65" s="38"/>
      <c r="D65" s="38"/>
      <c r="E65" s="38"/>
      <c r="F65" s="38"/>
      <c r="G65" s="38"/>
      <c r="H65" s="38"/>
      <c r="I65" s="38"/>
      <c r="J65" s="38"/>
      <c r="K65" s="38"/>
      <c r="L65" s="38"/>
      <c r="M65" s="38"/>
      <c r="N65" s="38"/>
      <c r="O65" s="38"/>
      <c r="P65" s="38"/>
      <c r="Q65" s="38"/>
      <c r="R65" s="38"/>
      <c r="S65" s="38"/>
      <c r="T65" s="38"/>
    </row>
    <row r="66" spans="1:20" x14ac:dyDescent="0.25">
      <c r="A66" s="38"/>
      <c r="B66" s="38"/>
      <c r="C66" s="38"/>
      <c r="D66" s="38"/>
      <c r="E66" s="38"/>
      <c r="F66" s="38"/>
      <c r="G66" s="38"/>
      <c r="H66" s="38"/>
      <c r="I66" s="38"/>
      <c r="J66" s="38"/>
      <c r="K66" s="38"/>
      <c r="L66" s="38"/>
      <c r="M66" s="38"/>
      <c r="N66" s="38"/>
      <c r="O66" s="38"/>
      <c r="P66" s="38"/>
      <c r="Q66" s="38"/>
      <c r="R66" s="38"/>
      <c r="S66" s="38"/>
      <c r="T66" s="38"/>
    </row>
  </sheetData>
  <sheetProtection sheet="1" objects="1" scenarios="1"/>
  <dataConsolidate/>
  <mergeCells count="20">
    <mergeCell ref="U26:AJ26"/>
    <mergeCell ref="AO26:BD26"/>
    <mergeCell ref="A20:BM20"/>
    <mergeCell ref="C15:F15"/>
    <mergeCell ref="G11:J11"/>
    <mergeCell ref="G12:J12"/>
    <mergeCell ref="G13:J13"/>
    <mergeCell ref="G14:J14"/>
    <mergeCell ref="G15:J15"/>
    <mergeCell ref="B24:C24"/>
    <mergeCell ref="B25:C25"/>
    <mergeCell ref="C11:F11"/>
    <mergeCell ref="C12:F12"/>
    <mergeCell ref="C13:F13"/>
    <mergeCell ref="C14:F14"/>
    <mergeCell ref="A1:AK1"/>
    <mergeCell ref="A4:AK4"/>
    <mergeCell ref="A3:AK3"/>
    <mergeCell ref="A7:AK7"/>
    <mergeCell ref="A5:AK5"/>
  </mergeCells>
  <conditionalFormatting sqref="U28:AJ43">
    <cfRule type="expression" dxfId="5" priority="64">
      <formula>AND(B28=1, B47=1)</formula>
    </cfRule>
    <cfRule type="expression" dxfId="4" priority="65">
      <formula>AND(B28=0, B47=0)</formula>
    </cfRule>
    <cfRule type="expression" dxfId="3" priority="66">
      <formula>AND(B28=0, B47=1)</formula>
    </cfRule>
  </conditionalFormatting>
  <conditionalFormatting sqref="AO28:BD43">
    <cfRule type="expression" dxfId="2" priority="67">
      <formula>AND(B28=1, B47=1)</formula>
    </cfRule>
    <cfRule type="expression" dxfId="1" priority="68">
      <formula>AND(B28=0, B47=0)</formula>
    </cfRule>
    <cfRule type="expression" dxfId="0" priority="69">
      <formula>AND(B28=0, B47=1)</formula>
    </cfRule>
  </conditionalFormatting>
  <pageMargins left="0.7" right="0.7" top="0.75" bottom="0.75" header="0.3" footer="0.3"/>
  <pageSetup orientation="portrait" horizont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Cursor Editor</vt:lpstr>
      <vt:lpstr>Cursor Viewer</vt:lpstr>
      <vt:lpstr>cursorstring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Korson</dc:creator>
  <cp:lastModifiedBy>Andrew Korson</cp:lastModifiedBy>
  <dcterms:created xsi:type="dcterms:W3CDTF">2026-05-06T18:20:38Z</dcterms:created>
  <dcterms:modified xsi:type="dcterms:W3CDTF">2026-05-07T05:35:22Z</dcterms:modified>
</cp:coreProperties>
</file>